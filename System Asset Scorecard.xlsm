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927" codeName="{DF908ECD-C663-F43C-BE37-009161E90720}"/>
  <workbookPr codeName="ThisWorkbook"/>
  <mc:AlternateContent xmlns:mc="http://schemas.openxmlformats.org/markup-compatibility/2006">
    <mc:Choice Requires="x15">
      <x15ac:absPath xmlns:x15ac="http://schemas.microsoft.com/office/spreadsheetml/2010/11/ac" url="C:\Users\koenigis\Desktop\"/>
    </mc:Choice>
  </mc:AlternateContent>
  <bookViews>
    <workbookView xWindow="11030" yWindow="11240" windowWidth="14640" windowHeight="11550" tabRatio="886" firstSheet="3" activeTab="17"/>
  </bookViews>
  <sheets>
    <sheet name="Instructions" sheetId="13" r:id="rId1"/>
    <sheet name="ScoreCard" sheetId="21" r:id="rId2"/>
    <sheet name="Summary" sheetId="19" r:id="rId3"/>
    <sheet name="1. Secure" sheetId="27" r:id="rId4"/>
    <sheet name="2. Compliant" sheetId="25" r:id="rId5"/>
    <sheet name="3. Reliable" sheetId="30" r:id="rId6"/>
    <sheet name="4. Scalable" sheetId="28" r:id="rId7"/>
    <sheet name="5. Manageable" sheetId="29" r:id="rId8"/>
    <sheet name="6. Simple" sheetId="2" r:id="rId9"/>
    <sheet name="7. Modular" sheetId="31" r:id="rId10"/>
    <sheet name="8. Maintainable" sheetId="26" r:id="rId11"/>
    <sheet name="9. Managed Data" sheetId="5" r:id="rId12"/>
    <sheet name="10. Global" sheetId="10" r:id="rId13"/>
    <sheet name="Debt Capture" sheetId="33" r:id="rId14"/>
    <sheet name="Mapping" sheetId="35" state="hidden" r:id="rId15"/>
    <sheet name="Messages" sheetId="36" r:id="rId16"/>
    <sheet name="References" sheetId="34" r:id="rId17"/>
    <sheet name="Change History" sheetId="32" r:id="rId18"/>
  </sheets>
  <functionGroups builtInGroupCount="18"/>
  <definedNames>
    <definedName name="_xlnm._FilterDatabase" localSheetId="3" hidden="1">'1. Secure'!$S$4:$S$50</definedName>
    <definedName name="_xlnm._FilterDatabase" localSheetId="12" hidden="1">'10. Global'!$S$3:$S$212</definedName>
    <definedName name="_xlnm._FilterDatabase" localSheetId="4" hidden="1">'2. Compliant'!$S$4:$S$159</definedName>
    <definedName name="_xlnm._FilterDatabase" localSheetId="5" hidden="1">'3. Reliable'!$S$4:$S$172</definedName>
    <definedName name="_xlnm._FilterDatabase" localSheetId="6" hidden="1">'4. Scalable'!$S$4:$S$180</definedName>
    <definedName name="_xlnm._FilterDatabase" localSheetId="7" hidden="1">'5. Manageable'!$S$4:$S$190</definedName>
    <definedName name="_xlnm._FilterDatabase" localSheetId="8" hidden="1">'6. Simple'!$S$4:$S$181</definedName>
    <definedName name="_xlnm._FilterDatabase" localSheetId="9" hidden="1">'7. Modular'!$S$4:$S$118</definedName>
    <definedName name="_xlnm._FilterDatabase" localSheetId="10" hidden="1">'8. Maintainable'!$S$4:$S$186</definedName>
    <definedName name="_xlnm._FilterDatabase" localSheetId="11" hidden="1">'9. Managed Data'!$S$4:$S$79</definedName>
    <definedName name="Assessment_Section">ScoreCard!$A$4</definedName>
    <definedName name="Business_Objectives_Section">ScoreCard!$A$10</definedName>
    <definedName name="DateOfReview">ScoreCard!$A$6</definedName>
    <definedName name="Debt_Capture_Section">ScoreCard!$A$16</definedName>
    <definedName name="DomainArchitectId">ScoreCard!$C$6</definedName>
    <definedName name="DomainArchitectName">ScoreCard!$D$6</definedName>
    <definedName name="EnterpriseArchitectId">ScoreCard!$E$6</definedName>
    <definedName name="EnterpriseArchitectName">ScoreCard!$F$6</definedName>
    <definedName name="Exceptions_Section">ScoreCard!$A$43</definedName>
    <definedName name="Global_Action_X">ScoreCard!$D$15</definedName>
    <definedName name="Global_Comment_X">ScoreCard!$G$15</definedName>
    <definedName name="Global_Risk_X">ScoreCard!$C$15</definedName>
    <definedName name="GovernanceLevel">ScoreCard!$D$9</definedName>
    <definedName name="GovLevelObjectivePrincipleMapping">Instructions!$A$92:$C$95</definedName>
    <definedName name="GR_DEBT_BEGIN">'Debt Capture'!$A$4</definedName>
    <definedName name="GR_DEBT_END">'Debt Capture'!$A$6:$D$6</definedName>
    <definedName name="NbrExceptions">ScoreCard!$J$6</definedName>
    <definedName name="NbrPermWaivers">ScoreCard!$K$6</definedName>
    <definedName name="NbrTempWaivers">ScoreCard!$L$6</definedName>
    <definedName name="OldRollupValues">Instructions!$B$78:$B$81</definedName>
    <definedName name="Operable_Action_X">ScoreCard!$D$13</definedName>
    <definedName name="Operable_Comment_X">ScoreCard!$G$13</definedName>
    <definedName name="Operable_Risk_X">ScoreCard!$C$13</definedName>
    <definedName name="_xlnm.Print_Area" localSheetId="3">'1. Secure'!$B$1:$G$82</definedName>
    <definedName name="_xlnm.Print_Area" localSheetId="12">'10. Global'!$B$1:$G$31</definedName>
    <definedName name="_xlnm.Print_Area" localSheetId="4">'2. Compliant'!$B$1:$G$19</definedName>
    <definedName name="_xlnm.Print_Area" localSheetId="5">'3. Reliable'!$B$1:$G$13</definedName>
    <definedName name="_xlnm.Print_Area" localSheetId="6">'4. Scalable'!$B$1:$G$15</definedName>
    <definedName name="_xlnm.Print_Area" localSheetId="7">'5. Manageable'!$B$1:$G$21</definedName>
    <definedName name="_xlnm.Print_Area" localSheetId="8">'6. Simple'!$B$1:$G$13</definedName>
    <definedName name="_xlnm.Print_Area" localSheetId="9">'7. Modular'!$B$1:$G$29</definedName>
    <definedName name="_xlnm.Print_Area" localSheetId="10">'8. Maintainable'!$B$1:$G$14</definedName>
    <definedName name="_xlnm.Print_Area" localSheetId="11">'9. Managed Data'!$B$1:$G$28</definedName>
    <definedName name="_xlnm.Print_Area" localSheetId="0">Instructions!$A$1:$C$71</definedName>
    <definedName name="_xlnm.Print_Area" localSheetId="1">ScoreCard!$A$1:$L$44</definedName>
    <definedName name="_xlnm.Print_Titles" localSheetId="17">'Change History'!$1:$2</definedName>
    <definedName name="PROFILES_BEGIN">ScoreCard!$A$32</definedName>
    <definedName name="PROFILES_END">ScoreCard!$A$42</definedName>
    <definedName name="RiskValues">Instructions!$B$56:$B$58</definedName>
    <definedName name="RollupValues">Instructions!$B$78:$B$81</definedName>
    <definedName name="RollupValuesForPrinciples" comment="just the first three of RollupValues">Instructions!$B$78:$B$80</definedName>
    <definedName name="Safe_Action_X">ScoreCard!$D$12</definedName>
    <definedName name="Safe_Comment_X">ScoreCard!$G$12</definedName>
    <definedName name="Safe_Risk_X">ScoreCard!$C$12</definedName>
    <definedName name="Scorecard_Profiles_Section">ScoreCard!$A$30</definedName>
    <definedName name="Scorecard_Type">ScoreCard!$A$3</definedName>
    <definedName name="ScorecardTemplateVersion">Instructions!$C$68</definedName>
    <definedName name="ScoringPhase">ScoreCard!$L$3</definedName>
    <definedName name="SummaryComments">ScoreCard!$D$7</definedName>
    <definedName name="SummaryOfChanges">ScoreCard!$D$8</definedName>
    <definedName name="SummaryScore">ScoreCard!$G$6</definedName>
    <definedName name="Sustainable_Action_X">ScoreCard!$D$14</definedName>
    <definedName name="Sustainable_Comment_X">ScoreCard!$G$14</definedName>
    <definedName name="Sustainable_Risk_X">ScoreCard!$C$14</definedName>
    <definedName name="SystemAssetDescription">ScoreCard!$F$3</definedName>
    <definedName name="SystemAssetId">ScoreCard!$B$3</definedName>
    <definedName name="SystemAssetName">ScoreCard!$C$3</definedName>
    <definedName name="SystemAssetVersion">ScoreCard!$B$6</definedName>
    <definedName name="ValidValues">Instructions!$B$84:$B$88</definedName>
    <definedName name="xxx">#REF!</definedName>
  </definedNames>
  <calcPr calcId="171027"/>
</workbook>
</file>

<file path=xl/calcChain.xml><?xml version="1.0" encoding="utf-8"?>
<calcChain xmlns="http://schemas.openxmlformats.org/spreadsheetml/2006/main">
  <c r="F19" i="21" l="1"/>
  <c r="F20" i="21"/>
  <c r="F25" i="21"/>
  <c r="F22" i="21"/>
  <c r="F23" i="21"/>
  <c r="F24" i="21"/>
  <c r="F21" i="21"/>
  <c r="F26" i="21"/>
  <c r="F28" i="21"/>
  <c r="F27" i="21"/>
  <c r="G26" i="21" l="1"/>
  <c r="H9" i="30" l="1"/>
  <c r="H73" i="27"/>
  <c r="H67" i="27"/>
  <c r="H64" i="27"/>
  <c r="H63" i="27"/>
  <c r="H62" i="27"/>
  <c r="H61" i="27"/>
  <c r="H60" i="27"/>
  <c r="H52" i="27"/>
  <c r="H36" i="27"/>
  <c r="H31" i="27"/>
  <c r="H9" i="27"/>
  <c r="H21" i="29"/>
  <c r="M51" i="19" l="1"/>
  <c r="M50" i="19"/>
  <c r="M49" i="19"/>
  <c r="M48" i="19"/>
  <c r="M61" i="19"/>
  <c r="M60" i="19"/>
  <c r="M59" i="19"/>
  <c r="M58" i="19"/>
  <c r="M30" i="19"/>
  <c r="M29" i="19"/>
  <c r="M28" i="19"/>
  <c r="M38" i="19"/>
  <c r="M37" i="19"/>
  <c r="M36" i="19"/>
  <c r="M35" i="19"/>
  <c r="M34" i="19"/>
  <c r="M33" i="19"/>
  <c r="M32" i="19"/>
  <c r="M31" i="19"/>
  <c r="M22" i="19"/>
  <c r="M21" i="19"/>
  <c r="M20" i="19"/>
  <c r="M19" i="19"/>
  <c r="M18" i="19"/>
  <c r="M17" i="19"/>
  <c r="M16" i="19"/>
  <c r="M15" i="19"/>
  <c r="M14" i="19"/>
  <c r="M13" i="19"/>
  <c r="M12" i="19"/>
  <c r="M11" i="19"/>
  <c r="M10" i="19"/>
  <c r="M9" i="19"/>
  <c r="M8" i="19"/>
  <c r="M7" i="19"/>
  <c r="M6" i="19"/>
  <c r="M5" i="19"/>
  <c r="M4" i="19"/>
  <c r="M3" i="19"/>
  <c r="M27" i="19"/>
  <c r="M26" i="19"/>
  <c r="M25" i="19"/>
  <c r="M24" i="19"/>
  <c r="M23" i="19"/>
  <c r="M41" i="19"/>
  <c r="M40" i="19"/>
  <c r="M39" i="19"/>
  <c r="M47" i="19"/>
  <c r="M46" i="19"/>
  <c r="M45" i="19"/>
  <c r="M44" i="19"/>
  <c r="M43" i="19"/>
  <c r="M42" i="19"/>
  <c r="M57" i="19"/>
  <c r="M56" i="19"/>
  <c r="M55" i="19"/>
  <c r="M54" i="19"/>
  <c r="M53" i="19"/>
  <c r="L51" i="19"/>
  <c r="L50" i="19"/>
  <c r="L49" i="19"/>
  <c r="L61" i="19"/>
  <c r="L60" i="19"/>
  <c r="L59" i="19"/>
  <c r="L30" i="19"/>
  <c r="L29" i="19"/>
  <c r="L38" i="19"/>
  <c r="L37" i="19"/>
  <c r="L36" i="19"/>
  <c r="L35" i="19"/>
  <c r="L33" i="19"/>
  <c r="L32" i="19"/>
  <c r="L22" i="19"/>
  <c r="L21" i="19"/>
  <c r="L20" i="19"/>
  <c r="L19" i="19"/>
  <c r="L18" i="19"/>
  <c r="L17" i="19"/>
  <c r="L16" i="19"/>
  <c r="L15" i="19"/>
  <c r="L14" i="19"/>
  <c r="L13" i="19"/>
  <c r="L12" i="19"/>
  <c r="L11" i="19"/>
  <c r="L10" i="19"/>
  <c r="L9" i="19"/>
  <c r="L8" i="19"/>
  <c r="L7" i="19"/>
  <c r="L6" i="19"/>
  <c r="L5" i="19"/>
  <c r="L4" i="19"/>
  <c r="L27" i="19"/>
  <c r="L26" i="19"/>
  <c r="L25" i="19"/>
  <c r="L24" i="19"/>
  <c r="L41" i="19"/>
  <c r="L40" i="19"/>
  <c r="L47" i="19"/>
  <c r="L46" i="19"/>
  <c r="L45" i="19"/>
  <c r="L44" i="19"/>
  <c r="L43" i="19"/>
  <c r="L57" i="19"/>
  <c r="L56" i="19"/>
  <c r="L55" i="19"/>
  <c r="L54" i="19"/>
  <c r="L53" i="19"/>
  <c r="J13" i="26" l="1"/>
  <c r="K13" i="26"/>
  <c r="L13" i="26"/>
  <c r="M13" i="26"/>
  <c r="N13" i="26"/>
  <c r="O13" i="26"/>
  <c r="P13" i="26"/>
  <c r="Q13" i="26"/>
  <c r="R13" i="26"/>
  <c r="S13" i="26"/>
  <c r="T13" i="26"/>
  <c r="U13" i="26"/>
  <c r="V13" i="26"/>
  <c r="W13" i="26"/>
  <c r="X13" i="26"/>
  <c r="Y13" i="26"/>
  <c r="Z13" i="26"/>
  <c r="AA13" i="26"/>
  <c r="AB13" i="26"/>
  <c r="AC13" i="26"/>
  <c r="AD13" i="26"/>
  <c r="I13" i="26"/>
  <c r="J33" i="27"/>
  <c r="K33" i="27"/>
  <c r="L33" i="27"/>
  <c r="M33" i="27"/>
  <c r="N33" i="27"/>
  <c r="O33" i="27"/>
  <c r="P33" i="27"/>
  <c r="Q33" i="27"/>
  <c r="R33" i="27"/>
  <c r="S33" i="27"/>
  <c r="T33" i="27"/>
  <c r="U33" i="27"/>
  <c r="V33" i="27"/>
  <c r="W33" i="27"/>
  <c r="X33" i="27"/>
  <c r="Y33" i="27"/>
  <c r="Z33" i="27"/>
  <c r="AA33" i="27"/>
  <c r="AB33" i="27"/>
  <c r="AC33" i="27"/>
  <c r="AD33" i="27"/>
  <c r="I33" i="27"/>
  <c r="J24" i="10" l="1"/>
  <c r="K24" i="10"/>
  <c r="L24" i="10"/>
  <c r="M24" i="10"/>
  <c r="N24" i="10"/>
  <c r="O24" i="10"/>
  <c r="P24" i="10"/>
  <c r="Q24" i="10"/>
  <c r="R24" i="10"/>
  <c r="S24" i="10"/>
  <c r="T24" i="10"/>
  <c r="U24" i="10"/>
  <c r="V24" i="10"/>
  <c r="W24" i="10"/>
  <c r="X24" i="10"/>
  <c r="Y24" i="10"/>
  <c r="Z24" i="10"/>
  <c r="AA24" i="10"/>
  <c r="AB24" i="10"/>
  <c r="AC24" i="10"/>
  <c r="AD24" i="10"/>
  <c r="I24" i="10"/>
  <c r="J20" i="10"/>
  <c r="K20" i="10"/>
  <c r="L20" i="10"/>
  <c r="M20" i="10"/>
  <c r="N20" i="10"/>
  <c r="O20" i="10"/>
  <c r="P20" i="10"/>
  <c r="Q20" i="10"/>
  <c r="R20" i="10"/>
  <c r="S20" i="10"/>
  <c r="T20" i="10"/>
  <c r="U20" i="10"/>
  <c r="V20" i="10"/>
  <c r="W20" i="10"/>
  <c r="X20" i="10"/>
  <c r="Y20" i="10"/>
  <c r="Z20" i="10"/>
  <c r="AA20" i="10"/>
  <c r="AB20" i="10"/>
  <c r="AC20" i="10"/>
  <c r="AD20" i="10"/>
  <c r="I20" i="10"/>
  <c r="J6" i="10"/>
  <c r="K6" i="10"/>
  <c r="L6" i="10"/>
  <c r="M6" i="10"/>
  <c r="N6" i="10"/>
  <c r="O6" i="10"/>
  <c r="P6" i="10"/>
  <c r="Q6" i="10"/>
  <c r="R6" i="10"/>
  <c r="S6" i="10"/>
  <c r="T6" i="10"/>
  <c r="U6" i="10"/>
  <c r="V6" i="10"/>
  <c r="W6" i="10"/>
  <c r="X6" i="10"/>
  <c r="Y6" i="10"/>
  <c r="Z6" i="10"/>
  <c r="AA6" i="10"/>
  <c r="AB6" i="10"/>
  <c r="AC6" i="10"/>
  <c r="AD6" i="10"/>
  <c r="I6" i="10"/>
  <c r="J78" i="27"/>
  <c r="K78" i="27"/>
  <c r="L78" i="27"/>
  <c r="M78" i="27"/>
  <c r="N78" i="27"/>
  <c r="O78" i="27"/>
  <c r="P78" i="27"/>
  <c r="Q78" i="27"/>
  <c r="R78" i="27"/>
  <c r="S78" i="27"/>
  <c r="T78" i="27"/>
  <c r="U78" i="27"/>
  <c r="V78" i="27"/>
  <c r="W78" i="27"/>
  <c r="X78" i="27"/>
  <c r="Y78" i="27"/>
  <c r="Z78" i="27"/>
  <c r="AA78" i="27"/>
  <c r="AB78" i="27"/>
  <c r="AC78" i="27"/>
  <c r="AD78" i="27"/>
  <c r="I78" i="27"/>
  <c r="J75" i="27"/>
  <c r="K75" i="27"/>
  <c r="L75" i="27"/>
  <c r="M75" i="27"/>
  <c r="N75" i="27"/>
  <c r="O75" i="27"/>
  <c r="P75" i="27"/>
  <c r="Q75" i="27"/>
  <c r="R75" i="27"/>
  <c r="S75" i="27"/>
  <c r="T75" i="27"/>
  <c r="U75" i="27"/>
  <c r="V75" i="27"/>
  <c r="W75" i="27"/>
  <c r="X75" i="27"/>
  <c r="Y75" i="27"/>
  <c r="Z75" i="27"/>
  <c r="AA75" i="27"/>
  <c r="AB75" i="27"/>
  <c r="AC75" i="27"/>
  <c r="AD75" i="27"/>
  <c r="I75" i="27"/>
  <c r="J72" i="27"/>
  <c r="K72" i="27"/>
  <c r="L72" i="27"/>
  <c r="M72" i="27"/>
  <c r="N72" i="27"/>
  <c r="O72" i="27"/>
  <c r="P72" i="27"/>
  <c r="Q72" i="27"/>
  <c r="R72" i="27"/>
  <c r="S72" i="27"/>
  <c r="T72" i="27"/>
  <c r="U72" i="27"/>
  <c r="V72" i="27"/>
  <c r="W72" i="27"/>
  <c r="X72" i="27"/>
  <c r="Y72" i="27"/>
  <c r="Z72" i="27"/>
  <c r="AA72" i="27"/>
  <c r="AB72" i="27"/>
  <c r="AC72" i="27"/>
  <c r="AD72" i="27"/>
  <c r="I72" i="27"/>
  <c r="J69" i="27"/>
  <c r="K69" i="27"/>
  <c r="L69" i="27"/>
  <c r="M69" i="27"/>
  <c r="N69" i="27"/>
  <c r="O69" i="27"/>
  <c r="P69" i="27"/>
  <c r="Q69" i="27"/>
  <c r="R69" i="27"/>
  <c r="S69" i="27"/>
  <c r="T69" i="27"/>
  <c r="U69" i="27"/>
  <c r="V69" i="27"/>
  <c r="W69" i="27"/>
  <c r="X69" i="27"/>
  <c r="Y69" i="27"/>
  <c r="Z69" i="27"/>
  <c r="AA69" i="27"/>
  <c r="AB69" i="27"/>
  <c r="AC69" i="27"/>
  <c r="AD69" i="27"/>
  <c r="I69" i="27"/>
  <c r="J66" i="27"/>
  <c r="K66" i="27"/>
  <c r="L66" i="27"/>
  <c r="M66" i="27"/>
  <c r="N66" i="27"/>
  <c r="O66" i="27"/>
  <c r="P66" i="27"/>
  <c r="Q66" i="27"/>
  <c r="R66" i="27"/>
  <c r="S66" i="27"/>
  <c r="T66" i="27"/>
  <c r="U66" i="27"/>
  <c r="V66" i="27"/>
  <c r="W66" i="27"/>
  <c r="X66" i="27"/>
  <c r="Y66" i="27"/>
  <c r="Z66" i="27"/>
  <c r="AA66" i="27"/>
  <c r="AB66" i="27"/>
  <c r="AC66" i="27"/>
  <c r="AD66" i="27"/>
  <c r="I66" i="27"/>
  <c r="J59" i="27"/>
  <c r="K59" i="27"/>
  <c r="L59" i="27"/>
  <c r="M59" i="27"/>
  <c r="N59" i="27"/>
  <c r="O59" i="27"/>
  <c r="P59" i="27"/>
  <c r="Q59" i="27"/>
  <c r="R59" i="27"/>
  <c r="S59" i="27"/>
  <c r="T59" i="27"/>
  <c r="U59" i="27"/>
  <c r="V59" i="27"/>
  <c r="W59" i="27"/>
  <c r="X59" i="27"/>
  <c r="Y59" i="27"/>
  <c r="Z59" i="27"/>
  <c r="AA59" i="27"/>
  <c r="AB59" i="27"/>
  <c r="AC59" i="27"/>
  <c r="AD59" i="27"/>
  <c r="I59" i="27"/>
  <c r="J55" i="27"/>
  <c r="K55" i="27"/>
  <c r="L55" i="27"/>
  <c r="M55" i="27"/>
  <c r="N55" i="27"/>
  <c r="O55" i="27"/>
  <c r="P55" i="27"/>
  <c r="Q55" i="27"/>
  <c r="R55" i="27"/>
  <c r="S55" i="27"/>
  <c r="T55" i="27"/>
  <c r="U55" i="27"/>
  <c r="V55" i="27"/>
  <c r="W55" i="27"/>
  <c r="X55" i="27"/>
  <c r="Y55" i="27"/>
  <c r="Z55" i="27"/>
  <c r="AA55" i="27"/>
  <c r="AB55" i="27"/>
  <c r="AC55" i="27"/>
  <c r="AD55" i="27"/>
  <c r="I55" i="27"/>
  <c r="J42" i="27"/>
  <c r="K42" i="27"/>
  <c r="L42" i="27"/>
  <c r="M42" i="27"/>
  <c r="N42" i="27"/>
  <c r="O42" i="27"/>
  <c r="P42" i="27"/>
  <c r="Q42" i="27"/>
  <c r="R42" i="27"/>
  <c r="S42" i="27"/>
  <c r="T42" i="27"/>
  <c r="U42" i="27"/>
  <c r="V42" i="27"/>
  <c r="W42" i="27"/>
  <c r="X42" i="27"/>
  <c r="Y42" i="27"/>
  <c r="Z42" i="27"/>
  <c r="AA42" i="27"/>
  <c r="AB42" i="27"/>
  <c r="AC42" i="27"/>
  <c r="AD42" i="27"/>
  <c r="I42" i="27"/>
  <c r="J38" i="27"/>
  <c r="K38" i="27"/>
  <c r="L38" i="27"/>
  <c r="M38" i="27"/>
  <c r="N38" i="27"/>
  <c r="O38" i="27"/>
  <c r="P38" i="27"/>
  <c r="Q38" i="27"/>
  <c r="R38" i="27"/>
  <c r="S38" i="27"/>
  <c r="T38" i="27"/>
  <c r="U38" i="27"/>
  <c r="V38" i="27"/>
  <c r="W38" i="27"/>
  <c r="X38" i="27"/>
  <c r="Y38" i="27"/>
  <c r="Z38" i="27"/>
  <c r="AA38" i="27"/>
  <c r="AB38" i="27"/>
  <c r="AC38" i="27"/>
  <c r="AD38" i="27"/>
  <c r="I38" i="27"/>
  <c r="J26" i="27"/>
  <c r="K26" i="27"/>
  <c r="L26" i="27"/>
  <c r="M26" i="27"/>
  <c r="N26" i="27"/>
  <c r="O26" i="27"/>
  <c r="P26" i="27"/>
  <c r="Q26" i="27"/>
  <c r="R26" i="27"/>
  <c r="S26" i="27"/>
  <c r="T26" i="27"/>
  <c r="U26" i="27"/>
  <c r="V26" i="27"/>
  <c r="W26" i="27"/>
  <c r="X26" i="27"/>
  <c r="Y26" i="27"/>
  <c r="Z26" i="27"/>
  <c r="AA26" i="27"/>
  <c r="AB26" i="27"/>
  <c r="AC26" i="27"/>
  <c r="AD26" i="27"/>
  <c r="I26" i="27"/>
  <c r="J19" i="27"/>
  <c r="K19" i="27"/>
  <c r="L19" i="27"/>
  <c r="M19" i="27"/>
  <c r="N19" i="27"/>
  <c r="O19" i="27"/>
  <c r="P19" i="27"/>
  <c r="Q19" i="27"/>
  <c r="R19" i="27"/>
  <c r="S19" i="27"/>
  <c r="T19" i="27"/>
  <c r="U19" i="27"/>
  <c r="V19" i="27"/>
  <c r="W19" i="27"/>
  <c r="X19" i="27"/>
  <c r="Y19" i="27"/>
  <c r="Z19" i="27"/>
  <c r="AA19" i="27"/>
  <c r="AB19" i="27"/>
  <c r="AC19" i="27"/>
  <c r="AD19" i="27"/>
  <c r="I19" i="27"/>
  <c r="J16" i="27"/>
  <c r="K16" i="27"/>
  <c r="L16" i="27"/>
  <c r="M16" i="27"/>
  <c r="N16" i="27"/>
  <c r="O16" i="27"/>
  <c r="P16" i="27"/>
  <c r="Q16" i="27"/>
  <c r="R16" i="27"/>
  <c r="S16" i="27"/>
  <c r="T16" i="27"/>
  <c r="U16" i="27"/>
  <c r="V16" i="27"/>
  <c r="W16" i="27"/>
  <c r="X16" i="27"/>
  <c r="Y16" i="27"/>
  <c r="Z16" i="27"/>
  <c r="AA16" i="27"/>
  <c r="AB16" i="27"/>
  <c r="AC16" i="27"/>
  <c r="AD16" i="27"/>
  <c r="I16" i="27"/>
  <c r="J12" i="27"/>
  <c r="K12" i="27"/>
  <c r="L12" i="27"/>
  <c r="M12" i="27"/>
  <c r="N12" i="27"/>
  <c r="O12" i="27"/>
  <c r="P12" i="27"/>
  <c r="Q12" i="27"/>
  <c r="R12" i="27"/>
  <c r="S12" i="27"/>
  <c r="T12" i="27"/>
  <c r="U12" i="27"/>
  <c r="V12" i="27"/>
  <c r="W12" i="27"/>
  <c r="X12" i="27"/>
  <c r="Y12" i="27"/>
  <c r="Z12" i="27"/>
  <c r="AA12" i="27"/>
  <c r="AB12" i="27"/>
  <c r="AC12" i="27"/>
  <c r="AD12" i="27"/>
  <c r="I12" i="27"/>
  <c r="J15" i="25"/>
  <c r="K15" i="25"/>
  <c r="L15" i="25"/>
  <c r="M15" i="25"/>
  <c r="N15" i="25"/>
  <c r="O15" i="25"/>
  <c r="P15" i="25"/>
  <c r="Q15" i="25"/>
  <c r="R15" i="25"/>
  <c r="S15" i="25"/>
  <c r="T15" i="25"/>
  <c r="U15" i="25"/>
  <c r="V15" i="25"/>
  <c r="W15" i="25"/>
  <c r="X15" i="25"/>
  <c r="Y15" i="25"/>
  <c r="Z15" i="25"/>
  <c r="AA15" i="25"/>
  <c r="AB15" i="25"/>
  <c r="AC15" i="25"/>
  <c r="AD15" i="25"/>
  <c r="I15" i="25"/>
  <c r="J27" i="31"/>
  <c r="K27" i="31"/>
  <c r="L27" i="31"/>
  <c r="M27" i="31"/>
  <c r="N27" i="31"/>
  <c r="O27" i="31"/>
  <c r="P27" i="31"/>
  <c r="Q27" i="31"/>
  <c r="R27" i="31"/>
  <c r="S27" i="31"/>
  <c r="T27" i="31"/>
  <c r="U27" i="31"/>
  <c r="V27" i="31"/>
  <c r="W27" i="31"/>
  <c r="X27" i="31"/>
  <c r="Y27" i="31"/>
  <c r="Z27" i="31"/>
  <c r="AA27" i="31"/>
  <c r="AB27" i="31"/>
  <c r="AC27" i="31"/>
  <c r="AD27" i="31"/>
  <c r="I27" i="31"/>
  <c r="J23" i="31"/>
  <c r="K23" i="31"/>
  <c r="L23" i="31"/>
  <c r="M23" i="31"/>
  <c r="N23" i="31"/>
  <c r="O23" i="31"/>
  <c r="P23" i="31"/>
  <c r="Q23" i="31"/>
  <c r="R23" i="31"/>
  <c r="S23" i="31"/>
  <c r="T23" i="31"/>
  <c r="U23" i="31"/>
  <c r="V23" i="31"/>
  <c r="W23" i="31"/>
  <c r="X23" i="31"/>
  <c r="Y23" i="31"/>
  <c r="Z23" i="31"/>
  <c r="AA23" i="31"/>
  <c r="AB23" i="31"/>
  <c r="AC23" i="31"/>
  <c r="AD23" i="31"/>
  <c r="I23" i="31"/>
  <c r="J18" i="31"/>
  <c r="K18" i="31"/>
  <c r="L18" i="31"/>
  <c r="M18" i="31"/>
  <c r="N18" i="31"/>
  <c r="O18" i="31"/>
  <c r="P18" i="31"/>
  <c r="Q18" i="31"/>
  <c r="R18" i="31"/>
  <c r="S18" i="31"/>
  <c r="T18" i="31"/>
  <c r="U18" i="31"/>
  <c r="V18" i="31"/>
  <c r="W18" i="31"/>
  <c r="X18" i="31"/>
  <c r="Y18" i="31"/>
  <c r="Z18" i="31"/>
  <c r="AA18" i="31"/>
  <c r="AB18" i="31"/>
  <c r="AC18" i="31"/>
  <c r="AD18" i="31"/>
  <c r="I18" i="31"/>
  <c r="J12" i="31"/>
  <c r="K12" i="31"/>
  <c r="L12" i="31"/>
  <c r="M12" i="31"/>
  <c r="N12" i="31"/>
  <c r="O12" i="31"/>
  <c r="P12" i="31"/>
  <c r="Q12" i="31"/>
  <c r="R12" i="31"/>
  <c r="S12" i="31"/>
  <c r="T12" i="31"/>
  <c r="U12" i="31"/>
  <c r="V12" i="31"/>
  <c r="W12" i="31"/>
  <c r="X12" i="31"/>
  <c r="Y12" i="31"/>
  <c r="Z12" i="31"/>
  <c r="AA12" i="31"/>
  <c r="AB12" i="31"/>
  <c r="AC12" i="31"/>
  <c r="AD12" i="31"/>
  <c r="I12" i="31"/>
  <c r="J6" i="31"/>
  <c r="K6" i="31"/>
  <c r="L6" i="31"/>
  <c r="M6" i="31"/>
  <c r="N6" i="31"/>
  <c r="O6" i="31"/>
  <c r="P6" i="31"/>
  <c r="Q6" i="31"/>
  <c r="R6" i="31"/>
  <c r="S6" i="31"/>
  <c r="T6" i="31"/>
  <c r="U6" i="31"/>
  <c r="V6" i="31"/>
  <c r="W6" i="31"/>
  <c r="X6" i="31"/>
  <c r="Y6" i="31"/>
  <c r="Z6" i="31"/>
  <c r="AA6" i="31"/>
  <c r="AB6" i="31"/>
  <c r="AC6" i="31"/>
  <c r="AD6" i="31"/>
  <c r="I6" i="31"/>
  <c r="J21" i="5"/>
  <c r="K21" i="5"/>
  <c r="L21" i="5"/>
  <c r="M21" i="5"/>
  <c r="N21" i="5"/>
  <c r="O21" i="5"/>
  <c r="P21" i="5"/>
  <c r="Q21" i="5"/>
  <c r="R21" i="5"/>
  <c r="S21" i="5"/>
  <c r="T21" i="5"/>
  <c r="U21" i="5"/>
  <c r="V21" i="5"/>
  <c r="W21" i="5"/>
  <c r="X21" i="5"/>
  <c r="Y21" i="5"/>
  <c r="Z21" i="5"/>
  <c r="AA21" i="5"/>
  <c r="AB21" i="5"/>
  <c r="AC21" i="5"/>
  <c r="AD21" i="5"/>
  <c r="I21" i="5"/>
  <c r="J17" i="5"/>
  <c r="K17" i="5"/>
  <c r="L17" i="5"/>
  <c r="M17" i="5"/>
  <c r="N17" i="5"/>
  <c r="O17" i="5"/>
  <c r="P17" i="5"/>
  <c r="Q17" i="5"/>
  <c r="R17" i="5"/>
  <c r="S17" i="5"/>
  <c r="T17" i="5"/>
  <c r="U17" i="5"/>
  <c r="V17" i="5"/>
  <c r="W17" i="5"/>
  <c r="X17" i="5"/>
  <c r="Y17" i="5"/>
  <c r="Z17" i="5"/>
  <c r="AA17" i="5"/>
  <c r="AB17" i="5"/>
  <c r="AC17" i="5"/>
  <c r="AD17" i="5"/>
  <c r="I17" i="5"/>
  <c r="J6" i="5"/>
  <c r="K6" i="5"/>
  <c r="L6" i="5"/>
  <c r="M6" i="5"/>
  <c r="N6" i="5"/>
  <c r="O6" i="5"/>
  <c r="P6" i="5"/>
  <c r="Q6" i="5"/>
  <c r="R6" i="5"/>
  <c r="S6" i="5"/>
  <c r="T6" i="5"/>
  <c r="U6" i="5"/>
  <c r="V6" i="5"/>
  <c r="W6" i="5"/>
  <c r="X6" i="5"/>
  <c r="Y6" i="5"/>
  <c r="Z6" i="5"/>
  <c r="AA6" i="5"/>
  <c r="AB6" i="5"/>
  <c r="AC6" i="5"/>
  <c r="AD6" i="5"/>
  <c r="I6" i="5"/>
  <c r="G43" i="19"/>
  <c r="G44" i="19"/>
  <c r="G45" i="19"/>
  <c r="G46" i="19"/>
  <c r="G47" i="19"/>
  <c r="G39" i="19"/>
  <c r="G40" i="19"/>
  <c r="G41" i="19"/>
  <c r="G23" i="19"/>
  <c r="G24" i="19"/>
  <c r="G25" i="19"/>
  <c r="G26" i="19"/>
  <c r="G27" i="19"/>
  <c r="G3" i="19"/>
  <c r="G4" i="19"/>
  <c r="G5" i="19"/>
  <c r="G6" i="19"/>
  <c r="G7" i="19"/>
  <c r="G8" i="19"/>
  <c r="G9" i="19"/>
  <c r="G10" i="19"/>
  <c r="G11" i="19"/>
  <c r="G12" i="19"/>
  <c r="G13" i="19"/>
  <c r="G14" i="19"/>
  <c r="G15" i="19"/>
  <c r="G16" i="19"/>
  <c r="G17" i="19"/>
  <c r="G18" i="19"/>
  <c r="G19" i="19"/>
  <c r="G20" i="19"/>
  <c r="G21" i="19"/>
  <c r="G22" i="19"/>
  <c r="G31" i="19"/>
  <c r="G32" i="19"/>
  <c r="G33" i="19"/>
  <c r="G34" i="19"/>
  <c r="G35" i="19"/>
  <c r="G36" i="19"/>
  <c r="G37" i="19"/>
  <c r="G38" i="19"/>
  <c r="G28" i="19"/>
  <c r="G29" i="19"/>
  <c r="G30" i="19"/>
  <c r="G58" i="19"/>
  <c r="G59" i="19"/>
  <c r="G60" i="19"/>
  <c r="G61" i="19"/>
  <c r="G48" i="19"/>
  <c r="G49" i="19"/>
  <c r="G50" i="19"/>
  <c r="G51" i="19"/>
  <c r="G53" i="19"/>
  <c r="G54" i="19"/>
  <c r="G55" i="19"/>
  <c r="G56" i="19"/>
  <c r="G57" i="19"/>
  <c r="G42" i="19"/>
  <c r="E60" i="19" l="1"/>
  <c r="D60" i="19"/>
  <c r="C60" i="19"/>
  <c r="B60" i="19"/>
  <c r="A60" i="19"/>
  <c r="K60" i="19" s="1"/>
  <c r="N60" i="19" s="1"/>
  <c r="E22" i="19"/>
  <c r="D22" i="19"/>
  <c r="C22" i="19"/>
  <c r="B22" i="19"/>
  <c r="A22" i="19"/>
  <c r="K22" i="19" s="1"/>
  <c r="N22" i="19" s="1"/>
  <c r="A21" i="19"/>
  <c r="K21" i="19" s="1"/>
  <c r="N21" i="19" s="1"/>
  <c r="E21" i="19"/>
  <c r="D21" i="19"/>
  <c r="C21" i="19"/>
  <c r="B21" i="19"/>
  <c r="E20" i="19"/>
  <c r="D20" i="19"/>
  <c r="C20" i="19"/>
  <c r="B20" i="19"/>
  <c r="A20" i="19"/>
  <c r="K20" i="19" s="1"/>
  <c r="N20" i="19" s="1"/>
  <c r="E18" i="19"/>
  <c r="D18" i="19"/>
  <c r="C18" i="19"/>
  <c r="B18" i="19"/>
  <c r="A18" i="19"/>
  <c r="K18" i="19" s="1"/>
  <c r="N18" i="19" s="1"/>
  <c r="E6" i="19"/>
  <c r="D6" i="19"/>
  <c r="C6" i="19"/>
  <c r="B6" i="19"/>
  <c r="A6" i="19"/>
  <c r="K6" i="19" s="1"/>
  <c r="N6" i="19" s="1"/>
  <c r="E5" i="19"/>
  <c r="D5" i="19"/>
  <c r="C5" i="19"/>
  <c r="B5" i="19"/>
  <c r="A5" i="19"/>
  <c r="K5" i="19" s="1"/>
  <c r="N5" i="19" s="1"/>
  <c r="E41" i="19"/>
  <c r="D41" i="19"/>
  <c r="C41" i="19"/>
  <c r="B41" i="19"/>
  <c r="A41" i="19"/>
  <c r="K41" i="19" s="1"/>
  <c r="N41" i="19" s="1"/>
  <c r="E46" i="19"/>
  <c r="D46" i="19"/>
  <c r="C46" i="19"/>
  <c r="B46" i="19"/>
  <c r="A46" i="19"/>
  <c r="K46" i="19" s="1"/>
  <c r="N46" i="19" s="1"/>
  <c r="E55" i="19"/>
  <c r="D55" i="19"/>
  <c r="C55" i="19"/>
  <c r="B55" i="19"/>
  <c r="A55" i="19"/>
  <c r="K55" i="19" s="1"/>
  <c r="N55" i="19" s="1"/>
  <c r="E53" i="19"/>
  <c r="D53" i="19"/>
  <c r="B53" i="19"/>
  <c r="A53" i="19"/>
  <c r="K53" i="19" s="1"/>
  <c r="N53" i="19" s="1"/>
  <c r="C53" i="19"/>
  <c r="H82" i="27" l="1"/>
  <c r="H81" i="27"/>
  <c r="H80" i="27"/>
  <c r="AD77" i="27"/>
  <c r="AC77" i="27"/>
  <c r="AA77" i="27"/>
  <c r="Z77" i="27"/>
  <c r="Y77" i="27"/>
  <c r="W77" i="27"/>
  <c r="V77" i="27"/>
  <c r="U77" i="27"/>
  <c r="S77" i="27"/>
  <c r="R77" i="27"/>
  <c r="O77" i="27"/>
  <c r="N77" i="27"/>
  <c r="M77" i="27"/>
  <c r="K77" i="27"/>
  <c r="J77" i="27"/>
  <c r="I77" i="27"/>
  <c r="AB77" i="27"/>
  <c r="X77" i="27"/>
  <c r="T77" i="27"/>
  <c r="Q77" i="27"/>
  <c r="P77" i="27"/>
  <c r="L77" i="27"/>
  <c r="H77" i="27"/>
  <c r="AB74" i="27"/>
  <c r="AA74" i="27"/>
  <c r="W74" i="27"/>
  <c r="T74" i="27"/>
  <c r="S74" i="27"/>
  <c r="R74" i="27"/>
  <c r="P74" i="27"/>
  <c r="O74" i="27"/>
  <c r="L74" i="27"/>
  <c r="K74" i="27"/>
  <c r="J74" i="27"/>
  <c r="I74" i="27"/>
  <c r="AD74" i="27"/>
  <c r="AC74" i="27"/>
  <c r="Z74" i="27"/>
  <c r="Y74" i="27"/>
  <c r="X74" i="27"/>
  <c r="V74" i="27"/>
  <c r="U74" i="27"/>
  <c r="Q74" i="27"/>
  <c r="N74" i="27"/>
  <c r="M74" i="27"/>
  <c r="H74" i="27"/>
  <c r="AD71" i="27"/>
  <c r="AC71" i="27"/>
  <c r="AB71" i="27"/>
  <c r="AA71" i="27"/>
  <c r="Z71" i="27"/>
  <c r="Y71" i="27"/>
  <c r="X71" i="27"/>
  <c r="W71" i="27"/>
  <c r="U71" i="27"/>
  <c r="T71" i="27"/>
  <c r="S71" i="27"/>
  <c r="R71" i="27"/>
  <c r="Q71" i="27"/>
  <c r="P71" i="27"/>
  <c r="O71" i="27"/>
  <c r="M71" i="27"/>
  <c r="L71" i="27"/>
  <c r="K71" i="27"/>
  <c r="J71" i="27"/>
  <c r="I71" i="27"/>
  <c r="V71" i="27"/>
  <c r="N71" i="27"/>
  <c r="H71" i="27"/>
  <c r="H65" i="27" l="1"/>
  <c r="H51" i="27" l="1"/>
  <c r="H34" i="27" l="1"/>
  <c r="H23" i="27"/>
  <c r="H24" i="27"/>
  <c r="H17" i="27"/>
  <c r="AD15" i="27"/>
  <c r="AB15" i="27"/>
  <c r="Z15" i="27"/>
  <c r="Y15" i="27"/>
  <c r="X15" i="27"/>
  <c r="W15" i="27"/>
  <c r="V15" i="27"/>
  <c r="U15" i="27"/>
  <c r="T15" i="27"/>
  <c r="S15" i="27"/>
  <c r="R15" i="27"/>
  <c r="Q15" i="27"/>
  <c r="P15" i="27"/>
  <c r="O15" i="27"/>
  <c r="N15" i="27"/>
  <c r="M15" i="27"/>
  <c r="L15" i="27"/>
  <c r="K15" i="27"/>
  <c r="J15" i="27"/>
  <c r="I15" i="27"/>
  <c r="AC15" i="27"/>
  <c r="AA15" i="27"/>
  <c r="H15" i="27"/>
  <c r="H13" i="27"/>
  <c r="AD11" i="27"/>
  <c r="AC11" i="27"/>
  <c r="AB11" i="27"/>
  <c r="AA11" i="27"/>
  <c r="Z11" i="27"/>
  <c r="Y11" i="27"/>
  <c r="X11" i="27"/>
  <c r="W11" i="27"/>
  <c r="V11" i="27"/>
  <c r="U11" i="27"/>
  <c r="T11" i="27"/>
  <c r="S11" i="27"/>
  <c r="R11" i="27"/>
  <c r="Q11" i="27"/>
  <c r="P11" i="27"/>
  <c r="O11" i="27"/>
  <c r="N11" i="27"/>
  <c r="M11" i="27"/>
  <c r="L11" i="27"/>
  <c r="K11" i="27"/>
  <c r="J11" i="27"/>
  <c r="I11" i="27"/>
  <c r="H11" i="27"/>
  <c r="J6" i="27"/>
  <c r="K6" i="27"/>
  <c r="L6" i="27"/>
  <c r="M6" i="27"/>
  <c r="N6" i="27"/>
  <c r="O6" i="27"/>
  <c r="P6" i="27"/>
  <c r="Q6" i="27"/>
  <c r="R6" i="27"/>
  <c r="S6" i="27"/>
  <c r="T6" i="27"/>
  <c r="U6" i="27"/>
  <c r="V6" i="27"/>
  <c r="W6" i="27"/>
  <c r="X6" i="27"/>
  <c r="Y6" i="27"/>
  <c r="Z6" i="27"/>
  <c r="AA6" i="27"/>
  <c r="AB6" i="27"/>
  <c r="AC6" i="27"/>
  <c r="AD6" i="27"/>
  <c r="I6" i="27"/>
  <c r="H29" i="31" l="1"/>
  <c r="H28" i="31"/>
  <c r="AD22" i="31"/>
  <c r="AC22" i="31"/>
  <c r="AB22" i="31"/>
  <c r="AA22" i="31"/>
  <c r="Z22" i="31"/>
  <c r="Y22" i="31"/>
  <c r="X22" i="31"/>
  <c r="W22" i="31"/>
  <c r="V22" i="31"/>
  <c r="U22" i="31"/>
  <c r="T22" i="31"/>
  <c r="S22" i="31"/>
  <c r="R22" i="31"/>
  <c r="Q22" i="31"/>
  <c r="P22" i="31"/>
  <c r="O22" i="31"/>
  <c r="N22" i="31"/>
  <c r="M22" i="31"/>
  <c r="L22" i="31"/>
  <c r="K22" i="31"/>
  <c r="J22" i="31"/>
  <c r="I22" i="31"/>
  <c r="H22" i="31"/>
  <c r="H24" i="5" l="1"/>
  <c r="H25" i="5"/>
  <c r="I26" i="5"/>
  <c r="I25" i="5" s="1"/>
  <c r="J26" i="5"/>
  <c r="J25" i="5" s="1"/>
  <c r="K26" i="5"/>
  <c r="K25" i="5" s="1"/>
  <c r="L26" i="5"/>
  <c r="L25" i="5" s="1"/>
  <c r="M26" i="5"/>
  <c r="M25" i="5" s="1"/>
  <c r="N26" i="5"/>
  <c r="N25" i="5" s="1"/>
  <c r="O26" i="5"/>
  <c r="O25" i="5" s="1"/>
  <c r="P26" i="5"/>
  <c r="P25" i="5" s="1"/>
  <c r="Q26" i="5"/>
  <c r="Q25" i="5" s="1"/>
  <c r="R26" i="5"/>
  <c r="R25" i="5" s="1"/>
  <c r="S26" i="5"/>
  <c r="S25" i="5" s="1"/>
  <c r="T26" i="5"/>
  <c r="T25" i="5" s="1"/>
  <c r="U26" i="5"/>
  <c r="U25" i="5" s="1"/>
  <c r="V26" i="5"/>
  <c r="V25" i="5" s="1"/>
  <c r="W26" i="5"/>
  <c r="W25" i="5" s="1"/>
  <c r="X26" i="5"/>
  <c r="X25" i="5" s="1"/>
  <c r="Y26" i="5"/>
  <c r="Y25" i="5" s="1"/>
  <c r="Z26" i="5"/>
  <c r="Z25" i="5" s="1"/>
  <c r="AA26" i="5"/>
  <c r="AA25" i="5" s="1"/>
  <c r="AB26" i="5"/>
  <c r="AB25" i="5" s="1"/>
  <c r="AC26" i="5"/>
  <c r="AC25" i="5" s="1"/>
  <c r="AD26" i="5"/>
  <c r="AD25" i="5" s="1"/>
  <c r="H27" i="5"/>
  <c r="H28" i="5"/>
  <c r="H19" i="5" l="1"/>
  <c r="H16" i="5"/>
  <c r="J10" i="5"/>
  <c r="K10" i="5"/>
  <c r="L10" i="5"/>
  <c r="M10" i="5"/>
  <c r="N10" i="5"/>
  <c r="O10" i="5"/>
  <c r="P10" i="5"/>
  <c r="Q10" i="5"/>
  <c r="R10" i="5"/>
  <c r="S10" i="5"/>
  <c r="T10" i="5"/>
  <c r="U10" i="5"/>
  <c r="V10" i="5"/>
  <c r="W10" i="5"/>
  <c r="X10" i="5"/>
  <c r="Y10" i="5"/>
  <c r="Z10" i="5"/>
  <c r="AA10" i="5"/>
  <c r="AB10" i="5"/>
  <c r="AC10" i="5"/>
  <c r="AD10" i="5"/>
  <c r="I10" i="5"/>
  <c r="H8" i="5"/>
  <c r="H7" i="5"/>
  <c r="H5" i="5"/>
  <c r="N6" i="29" l="1"/>
  <c r="H19" i="10" l="1"/>
  <c r="H56" i="27" l="1"/>
  <c r="D14" i="33" l="1"/>
  <c r="E20" i="21" s="1"/>
  <c r="D15" i="33"/>
  <c r="E21" i="21" s="1"/>
  <c r="D16" i="33"/>
  <c r="E22" i="21" s="1"/>
  <c r="D17" i="33"/>
  <c r="E23" i="21" s="1"/>
  <c r="D18" i="33"/>
  <c r="E24" i="21" s="1"/>
  <c r="D19" i="33"/>
  <c r="E25" i="21" s="1"/>
  <c r="D20" i="33"/>
  <c r="E26" i="21" s="1"/>
  <c r="D21" i="33"/>
  <c r="E27" i="21" s="1"/>
  <c r="D22" i="33"/>
  <c r="E28" i="21" s="1"/>
  <c r="L15" i="21" s="1"/>
  <c r="D13" i="33"/>
  <c r="E19" i="21" s="1"/>
  <c r="C14" i="33"/>
  <c r="C15" i="33"/>
  <c r="C16" i="33"/>
  <c r="D22" i="21" s="1"/>
  <c r="C17" i="33"/>
  <c r="D23" i="21" s="1"/>
  <c r="C18" i="33"/>
  <c r="D24" i="21" s="1"/>
  <c r="C19" i="33"/>
  <c r="D25" i="21" s="1"/>
  <c r="C20" i="33"/>
  <c r="D26" i="21" s="1"/>
  <c r="C21" i="33"/>
  <c r="D27" i="21" s="1"/>
  <c r="C22" i="33"/>
  <c r="D28" i="21" s="1"/>
  <c r="K15" i="21" s="1"/>
  <c r="C13" i="33"/>
  <c r="L13" i="21" l="1"/>
  <c r="L14" i="21"/>
  <c r="K14" i="21"/>
  <c r="L12" i="21"/>
  <c r="D7" i="33"/>
  <c r="C7" i="33"/>
  <c r="H70" i="27" l="1"/>
  <c r="J11" i="2"/>
  <c r="K11" i="2"/>
  <c r="L11" i="2"/>
  <c r="M11" i="2"/>
  <c r="N11" i="2"/>
  <c r="O11" i="2"/>
  <c r="P11" i="2"/>
  <c r="Q11" i="2"/>
  <c r="R11" i="2"/>
  <c r="S11" i="2"/>
  <c r="T11" i="2"/>
  <c r="U11" i="2"/>
  <c r="V11" i="2"/>
  <c r="W11" i="2"/>
  <c r="X11" i="2"/>
  <c r="Y11" i="2"/>
  <c r="Z11" i="2"/>
  <c r="AA11" i="2"/>
  <c r="AB11" i="2"/>
  <c r="AC11" i="2"/>
  <c r="AD11" i="2"/>
  <c r="I11" i="2"/>
  <c r="H13" i="2"/>
  <c r="A38" i="19"/>
  <c r="K38" i="19" s="1"/>
  <c r="N38" i="19" s="1"/>
  <c r="B38" i="19"/>
  <c r="C38" i="19"/>
  <c r="D38" i="19"/>
  <c r="E38" i="19"/>
  <c r="J19" i="29"/>
  <c r="J18" i="29" s="1"/>
  <c r="K19" i="29"/>
  <c r="K18" i="29" s="1"/>
  <c r="L19" i="29"/>
  <c r="L18" i="29" s="1"/>
  <c r="M19" i="29"/>
  <c r="M18" i="29" s="1"/>
  <c r="N19" i="29"/>
  <c r="N18" i="29" s="1"/>
  <c r="O19" i="29"/>
  <c r="O18" i="29" s="1"/>
  <c r="P19" i="29"/>
  <c r="P18" i="29" s="1"/>
  <c r="Q19" i="29"/>
  <c r="Q18" i="29" s="1"/>
  <c r="R19" i="29"/>
  <c r="R18" i="29" s="1"/>
  <c r="S19" i="29"/>
  <c r="S18" i="29" s="1"/>
  <c r="T19" i="29"/>
  <c r="T18" i="29" s="1"/>
  <c r="U19" i="29"/>
  <c r="U18" i="29" s="1"/>
  <c r="V19" i="29"/>
  <c r="V18" i="29" s="1"/>
  <c r="W19" i="29"/>
  <c r="X19" i="29"/>
  <c r="X18" i="29" s="1"/>
  <c r="Y19" i="29"/>
  <c r="Y18" i="29" s="1"/>
  <c r="Z19" i="29"/>
  <c r="Z18" i="29" s="1"/>
  <c r="AA19" i="29"/>
  <c r="AA18" i="29" s="1"/>
  <c r="AB19" i="29"/>
  <c r="AB18" i="29" s="1"/>
  <c r="AC19" i="29"/>
  <c r="AC18" i="29" s="1"/>
  <c r="AD19" i="29"/>
  <c r="AD18" i="29" s="1"/>
  <c r="I19" i="29"/>
  <c r="I18" i="29" s="1"/>
  <c r="H20" i="29"/>
  <c r="W18" i="29"/>
  <c r="H18" i="29"/>
  <c r="H20" i="31" l="1"/>
  <c r="H10" i="31"/>
  <c r="Z12" i="26" l="1"/>
  <c r="Y12" i="26"/>
  <c r="Z9" i="26"/>
  <c r="Z8" i="26" s="1"/>
  <c r="Y9" i="26"/>
  <c r="Y8" i="26" s="1"/>
  <c r="Z6" i="26"/>
  <c r="Z5" i="26" s="1"/>
  <c r="Y6" i="26"/>
  <c r="Y5" i="26" s="1"/>
  <c r="AB12" i="26"/>
  <c r="AA12" i="26"/>
  <c r="AB9" i="26"/>
  <c r="AB8" i="26" s="1"/>
  <c r="AA9" i="26"/>
  <c r="AA8" i="26" s="1"/>
  <c r="AB6" i="26"/>
  <c r="AB5" i="26" s="1"/>
  <c r="AA6" i="26"/>
  <c r="AA5" i="26" s="1"/>
  <c r="L12" i="26"/>
  <c r="K12" i="26"/>
  <c r="L9" i="26"/>
  <c r="L8" i="26" s="1"/>
  <c r="K9" i="26"/>
  <c r="K8" i="26" s="1"/>
  <c r="L6" i="26"/>
  <c r="L5" i="26" s="1"/>
  <c r="K6" i="26"/>
  <c r="K5" i="26" s="1"/>
  <c r="Z23" i="10"/>
  <c r="Z19" i="10" s="1"/>
  <c r="Z5" i="10" s="1"/>
  <c r="Y23" i="10"/>
  <c r="Y19" i="10" s="1"/>
  <c r="Y5" i="10" s="1"/>
  <c r="AB23" i="10"/>
  <c r="AB19" i="10" s="1"/>
  <c r="AB5" i="10" s="1"/>
  <c r="AA23" i="10"/>
  <c r="AA19" i="10" s="1"/>
  <c r="AA5" i="10" s="1"/>
  <c r="L23" i="10"/>
  <c r="L19" i="10" s="1"/>
  <c r="L5" i="10" s="1"/>
  <c r="K23" i="10"/>
  <c r="K19" i="10" s="1"/>
  <c r="K5" i="10" s="1"/>
  <c r="Z12" i="30"/>
  <c r="Z11" i="30" s="1"/>
  <c r="Y12" i="30"/>
  <c r="Y11" i="30" s="1"/>
  <c r="Z6" i="30"/>
  <c r="Z5" i="30" s="1"/>
  <c r="Y6" i="30"/>
  <c r="Y5" i="30" s="1"/>
  <c r="AB12" i="30"/>
  <c r="AB11" i="30" s="1"/>
  <c r="AA12" i="30"/>
  <c r="AA11" i="30" s="1"/>
  <c r="AB6" i="30"/>
  <c r="AB5" i="30" s="1"/>
  <c r="AA6" i="30"/>
  <c r="AA5" i="30" s="1"/>
  <c r="L12" i="30"/>
  <c r="L11" i="30" s="1"/>
  <c r="K12" i="30"/>
  <c r="K11" i="30" s="1"/>
  <c r="L6" i="30"/>
  <c r="L5" i="30" s="1"/>
  <c r="K6" i="30"/>
  <c r="K5" i="30" s="1"/>
  <c r="Z14" i="29"/>
  <c r="Z13" i="29" s="1"/>
  <c r="Y14" i="29"/>
  <c r="Y13" i="29" s="1"/>
  <c r="Z10" i="29"/>
  <c r="Z9" i="29" s="1"/>
  <c r="Y10" i="29"/>
  <c r="Y9" i="29" s="1"/>
  <c r="Z6" i="29"/>
  <c r="Z5" i="29" s="1"/>
  <c r="Y6" i="29"/>
  <c r="Y5" i="29" s="1"/>
  <c r="AB14" i="29"/>
  <c r="AB13" i="29" s="1"/>
  <c r="AA14" i="29"/>
  <c r="AA13" i="29" s="1"/>
  <c r="AB10" i="29"/>
  <c r="AB9" i="29" s="1"/>
  <c r="AA10" i="29"/>
  <c r="AA9" i="29" s="1"/>
  <c r="AB6" i="29"/>
  <c r="AB5" i="29" s="1"/>
  <c r="AA6" i="29"/>
  <c r="AA5" i="29" s="1"/>
  <c r="L14" i="29"/>
  <c r="L13" i="29" s="1"/>
  <c r="K14" i="29"/>
  <c r="K13" i="29" s="1"/>
  <c r="L10" i="29"/>
  <c r="L9" i="29" s="1"/>
  <c r="K10" i="29"/>
  <c r="K9" i="29" s="1"/>
  <c r="L6" i="29"/>
  <c r="L5" i="29" s="1"/>
  <c r="K6" i="29"/>
  <c r="K5" i="29" s="1"/>
  <c r="Z12" i="28"/>
  <c r="Z11" i="28" s="1"/>
  <c r="Y12" i="28"/>
  <c r="Y11" i="28" s="1"/>
  <c r="Z6" i="28"/>
  <c r="Z5" i="28" s="1"/>
  <c r="Y6" i="28"/>
  <c r="Y5" i="28" s="1"/>
  <c r="AB12" i="28"/>
  <c r="AB11" i="28" s="1"/>
  <c r="AA12" i="28"/>
  <c r="AA11" i="28" s="1"/>
  <c r="AB6" i="28"/>
  <c r="AB5" i="28" s="1"/>
  <c r="AA6" i="28"/>
  <c r="AA5" i="28" s="1"/>
  <c r="L12" i="28"/>
  <c r="L11" i="28" s="1"/>
  <c r="K12" i="28"/>
  <c r="K11" i="28" s="1"/>
  <c r="L6" i="28"/>
  <c r="L5" i="28" s="1"/>
  <c r="K6" i="28"/>
  <c r="K5" i="28" s="1"/>
  <c r="Z58" i="27"/>
  <c r="Y58" i="27"/>
  <c r="Z68" i="27"/>
  <c r="Z65" i="27" s="1"/>
  <c r="Y68" i="27"/>
  <c r="Z49" i="27"/>
  <c r="Z48" i="27" s="1"/>
  <c r="Y49" i="27"/>
  <c r="Y48" i="27" s="1"/>
  <c r="Z45" i="27"/>
  <c r="Z44" i="27" s="1"/>
  <c r="Y45" i="27"/>
  <c r="Y44" i="27" s="1"/>
  <c r="Z41" i="27"/>
  <c r="Y41" i="27"/>
  <c r="Z32" i="27"/>
  <c r="Y32" i="27"/>
  <c r="Z29" i="27"/>
  <c r="Z28" i="27" s="1"/>
  <c r="Y29" i="27"/>
  <c r="Y28" i="27" s="1"/>
  <c r="Z25" i="27"/>
  <c r="Y25" i="27"/>
  <c r="Z22" i="27"/>
  <c r="Z21" i="27" s="1"/>
  <c r="Y22" i="27"/>
  <c r="Y21" i="27" s="1"/>
  <c r="Z18" i="27"/>
  <c r="Y18" i="27"/>
  <c r="Z5" i="27"/>
  <c r="Y5" i="27"/>
  <c r="AB58" i="27"/>
  <c r="AA58" i="27"/>
  <c r="AB68" i="27"/>
  <c r="AA68" i="27"/>
  <c r="AA65" i="27" s="1"/>
  <c r="AB49" i="27"/>
  <c r="AB48" i="27" s="1"/>
  <c r="AA49" i="27"/>
  <c r="AA48" i="27" s="1"/>
  <c r="AB45" i="27"/>
  <c r="AB44" i="27" s="1"/>
  <c r="AA45" i="27"/>
  <c r="AA44" i="27" s="1"/>
  <c r="AB41" i="27"/>
  <c r="AA41" i="27"/>
  <c r="AB32" i="27"/>
  <c r="AA32" i="27"/>
  <c r="AB29" i="27"/>
  <c r="AB28" i="27" s="1"/>
  <c r="AA29" i="27"/>
  <c r="AA28" i="27" s="1"/>
  <c r="AB25" i="27"/>
  <c r="AA25" i="27"/>
  <c r="AB22" i="27"/>
  <c r="AB21" i="27" s="1"/>
  <c r="AA22" i="27"/>
  <c r="AA21" i="27" s="1"/>
  <c r="AB18" i="27"/>
  <c r="AA18" i="27"/>
  <c r="AB5" i="27"/>
  <c r="AA5" i="27"/>
  <c r="L58" i="27"/>
  <c r="K58" i="27"/>
  <c r="L68" i="27"/>
  <c r="L65" i="27" s="1"/>
  <c r="K68" i="27"/>
  <c r="L49" i="27"/>
  <c r="L48" i="27" s="1"/>
  <c r="K49" i="27"/>
  <c r="K48" i="27" s="1"/>
  <c r="L45" i="27"/>
  <c r="L44" i="27" s="1"/>
  <c r="K45" i="27"/>
  <c r="K44" i="27" s="1"/>
  <c r="L41" i="27"/>
  <c r="K41" i="27"/>
  <c r="L32" i="27"/>
  <c r="K32" i="27"/>
  <c r="L29" i="27"/>
  <c r="L28" i="27" s="1"/>
  <c r="K29" i="27"/>
  <c r="K28" i="27" s="1"/>
  <c r="L25" i="27"/>
  <c r="K25" i="27"/>
  <c r="L22" i="27"/>
  <c r="L21" i="27" s="1"/>
  <c r="K22" i="27"/>
  <c r="K21" i="27" s="1"/>
  <c r="L18" i="27"/>
  <c r="K18" i="27"/>
  <c r="L5" i="27"/>
  <c r="K5" i="27"/>
  <c r="Z18" i="25"/>
  <c r="Z17" i="25" s="1"/>
  <c r="Y18" i="25"/>
  <c r="Y17" i="25" s="1"/>
  <c r="Z14" i="25"/>
  <c r="Y14" i="25"/>
  <c r="Z11" i="25"/>
  <c r="Z10" i="25" s="1"/>
  <c r="Y11" i="25"/>
  <c r="Y10" i="25" s="1"/>
  <c r="Z6" i="25"/>
  <c r="Z5" i="25" s="1"/>
  <c r="Y6" i="25"/>
  <c r="Y5" i="25" s="1"/>
  <c r="AB18" i="25"/>
  <c r="AB17" i="25" s="1"/>
  <c r="AA18" i="25"/>
  <c r="AA17" i="25" s="1"/>
  <c r="AB14" i="25"/>
  <c r="AA14" i="25"/>
  <c r="AB11" i="25"/>
  <c r="AB10" i="25" s="1"/>
  <c r="AA11" i="25"/>
  <c r="AA10" i="25" s="1"/>
  <c r="AB6" i="25"/>
  <c r="AB5" i="25" s="1"/>
  <c r="AA6" i="25"/>
  <c r="AA5" i="25" s="1"/>
  <c r="L18" i="25"/>
  <c r="L17" i="25" s="1"/>
  <c r="K18" i="25"/>
  <c r="K17" i="25" s="1"/>
  <c r="L14" i="25"/>
  <c r="K14" i="25"/>
  <c r="L11" i="25"/>
  <c r="L10" i="25" s="1"/>
  <c r="K11" i="25"/>
  <c r="K10" i="25" s="1"/>
  <c r="L6" i="25"/>
  <c r="L5" i="25" s="1"/>
  <c r="K6" i="25"/>
  <c r="K5" i="25" s="1"/>
  <c r="Z10" i="2"/>
  <c r="Y10" i="2"/>
  <c r="Z6" i="2"/>
  <c r="Z5" i="2" s="1"/>
  <c r="Y6" i="2"/>
  <c r="Y5" i="2" s="1"/>
  <c r="AB10" i="2"/>
  <c r="AA10" i="2"/>
  <c r="AB6" i="2"/>
  <c r="AB5" i="2" s="1"/>
  <c r="AA6" i="2"/>
  <c r="AA5" i="2" s="1"/>
  <c r="L10" i="2"/>
  <c r="K10" i="2"/>
  <c r="L6" i="2"/>
  <c r="L5" i="2" s="1"/>
  <c r="K6" i="2"/>
  <c r="K5" i="2" s="1"/>
  <c r="Z26" i="31"/>
  <c r="Y26" i="31"/>
  <c r="Z17" i="31"/>
  <c r="Z11" i="31" s="1"/>
  <c r="Y17" i="31"/>
  <c r="Y11" i="31" s="1"/>
  <c r="AB26" i="31"/>
  <c r="AA26" i="31"/>
  <c r="AB17" i="31"/>
  <c r="AB11" i="31" s="1"/>
  <c r="AA17" i="31"/>
  <c r="AA11" i="31" s="1"/>
  <c r="AA5" i="31" s="1"/>
  <c r="L26" i="31"/>
  <c r="K26" i="31"/>
  <c r="L17" i="31"/>
  <c r="L11" i="31" s="1"/>
  <c r="K17" i="31"/>
  <c r="K11" i="31" s="1"/>
  <c r="Z20" i="5"/>
  <c r="Z16" i="5" s="1"/>
  <c r="Y20" i="5"/>
  <c r="Y16" i="5" s="1"/>
  <c r="Z9" i="5"/>
  <c r="Z5" i="5" s="1"/>
  <c r="Y9" i="5"/>
  <c r="Y5" i="5" s="1"/>
  <c r="AB20" i="5"/>
  <c r="AB16" i="5" s="1"/>
  <c r="AA20" i="5"/>
  <c r="AA16" i="5" s="1"/>
  <c r="AB9" i="5"/>
  <c r="AB5" i="5" s="1"/>
  <c r="AA9" i="5"/>
  <c r="AA5" i="5" s="1"/>
  <c r="L20" i="5"/>
  <c r="L16" i="5" s="1"/>
  <c r="K20" i="5"/>
  <c r="K16" i="5" s="1"/>
  <c r="L9" i="5"/>
  <c r="L5" i="5" s="1"/>
  <c r="K9" i="5"/>
  <c r="K5" i="5" s="1"/>
  <c r="Y65" i="27" l="1"/>
  <c r="Y54" i="27" s="1"/>
  <c r="K65" i="27"/>
  <c r="K54" i="27" s="1"/>
  <c r="AB65" i="27"/>
  <c r="AB54" i="27" s="1"/>
  <c r="L54" i="27"/>
  <c r="Z54" i="27"/>
  <c r="AA54" i="27"/>
  <c r="Z5" i="31"/>
  <c r="AB5" i="31"/>
  <c r="K5" i="31"/>
  <c r="Y5" i="31"/>
  <c r="L5" i="31"/>
  <c r="J49" i="27"/>
  <c r="M49" i="27"/>
  <c r="N49" i="27"/>
  <c r="O49" i="27"/>
  <c r="P49" i="27"/>
  <c r="Q49" i="27"/>
  <c r="R49" i="27"/>
  <c r="S49" i="27"/>
  <c r="T49" i="27"/>
  <c r="U49" i="27"/>
  <c r="V49" i="27"/>
  <c r="W49" i="27"/>
  <c r="X49" i="27"/>
  <c r="AC49" i="27"/>
  <c r="AD49" i="27"/>
  <c r="I49" i="27"/>
  <c r="H53" i="27" l="1"/>
  <c r="H13" i="31" l="1"/>
  <c r="H9" i="31"/>
  <c r="E17" i="19"/>
  <c r="D17" i="19"/>
  <c r="C17" i="19"/>
  <c r="B17" i="19"/>
  <c r="A17" i="19"/>
  <c r="K17" i="19" s="1"/>
  <c r="N17" i="19" s="1"/>
  <c r="E16" i="19"/>
  <c r="D16" i="19"/>
  <c r="C16" i="19"/>
  <c r="B16" i="19"/>
  <c r="A16" i="19"/>
  <c r="K16" i="19" s="1"/>
  <c r="N16" i="19" s="1"/>
  <c r="E19" i="19"/>
  <c r="D19" i="19"/>
  <c r="C19" i="19"/>
  <c r="B19" i="19"/>
  <c r="A19" i="19"/>
  <c r="K19" i="19" s="1"/>
  <c r="N19" i="19" s="1"/>
  <c r="J58" i="27"/>
  <c r="M58" i="27"/>
  <c r="N58" i="27"/>
  <c r="O58" i="27"/>
  <c r="P58" i="27"/>
  <c r="Q58" i="27"/>
  <c r="R58" i="27"/>
  <c r="S58" i="27"/>
  <c r="T58" i="27"/>
  <c r="U58" i="27"/>
  <c r="V58" i="27"/>
  <c r="W58" i="27"/>
  <c r="X58" i="27"/>
  <c r="AC58" i="27"/>
  <c r="AD58" i="27"/>
  <c r="I58" i="27"/>
  <c r="H58" i="27"/>
  <c r="H57" i="27"/>
  <c r="H54" i="27"/>
  <c r="H47" i="27"/>
  <c r="J68" i="27"/>
  <c r="M68" i="27"/>
  <c r="N68" i="27"/>
  <c r="N65" i="27" s="1"/>
  <c r="O68" i="27"/>
  <c r="P68" i="27"/>
  <c r="Q68" i="27"/>
  <c r="R68" i="27"/>
  <c r="R65" i="27" s="1"/>
  <c r="S68" i="27"/>
  <c r="T68" i="27"/>
  <c r="U68" i="27"/>
  <c r="V68" i="27"/>
  <c r="V65" i="27" s="1"/>
  <c r="W68" i="27"/>
  <c r="X68" i="27"/>
  <c r="AC68" i="27"/>
  <c r="AD68" i="27"/>
  <c r="AD65" i="27" s="1"/>
  <c r="I68" i="27"/>
  <c r="I65" i="27" s="1"/>
  <c r="H76" i="27"/>
  <c r="H79" i="27"/>
  <c r="H68" i="27"/>
  <c r="C69" i="13"/>
  <c r="J12" i="26"/>
  <c r="M12" i="26"/>
  <c r="N12" i="26"/>
  <c r="O12" i="26"/>
  <c r="P12" i="26"/>
  <c r="Q12" i="26"/>
  <c r="R12" i="26"/>
  <c r="S12" i="26"/>
  <c r="T12" i="26"/>
  <c r="U12" i="26"/>
  <c r="V12" i="26"/>
  <c r="W12" i="26"/>
  <c r="X12" i="26"/>
  <c r="AC12" i="26"/>
  <c r="AD12" i="26"/>
  <c r="I12" i="26"/>
  <c r="J9" i="26"/>
  <c r="J8" i="26" s="1"/>
  <c r="M9" i="26"/>
  <c r="M8" i="26" s="1"/>
  <c r="N9" i="26"/>
  <c r="N8" i="26" s="1"/>
  <c r="O9" i="26"/>
  <c r="O8" i="26" s="1"/>
  <c r="P9" i="26"/>
  <c r="P8" i="26" s="1"/>
  <c r="Q9" i="26"/>
  <c r="Q8" i="26" s="1"/>
  <c r="R9" i="26"/>
  <c r="R8" i="26" s="1"/>
  <c r="S9" i="26"/>
  <c r="S8" i="26" s="1"/>
  <c r="T9" i="26"/>
  <c r="T8" i="26" s="1"/>
  <c r="U9" i="26"/>
  <c r="U8" i="26" s="1"/>
  <c r="V9" i="26"/>
  <c r="V8" i="26" s="1"/>
  <c r="W9" i="26"/>
  <c r="W8" i="26" s="1"/>
  <c r="X9" i="26"/>
  <c r="X8" i="26" s="1"/>
  <c r="AC9" i="26"/>
  <c r="AC8" i="26" s="1"/>
  <c r="AD9" i="26"/>
  <c r="AD8" i="26" s="1"/>
  <c r="I9" i="26"/>
  <c r="I8" i="26" s="1"/>
  <c r="J6" i="26"/>
  <c r="J5" i="26" s="1"/>
  <c r="M6" i="26"/>
  <c r="M5" i="26" s="1"/>
  <c r="N6" i="26"/>
  <c r="N5" i="26" s="1"/>
  <c r="O6" i="26"/>
  <c r="O5" i="26" s="1"/>
  <c r="P6" i="26"/>
  <c r="P5" i="26" s="1"/>
  <c r="Q6" i="26"/>
  <c r="Q5" i="26" s="1"/>
  <c r="R6" i="26"/>
  <c r="R5" i="26" s="1"/>
  <c r="S6" i="26"/>
  <c r="S5" i="26" s="1"/>
  <c r="T6" i="26"/>
  <c r="T5" i="26" s="1"/>
  <c r="U6" i="26"/>
  <c r="U5" i="26" s="1"/>
  <c r="V6" i="26"/>
  <c r="V5" i="26" s="1"/>
  <c r="W6" i="26"/>
  <c r="W5" i="26" s="1"/>
  <c r="X6" i="26"/>
  <c r="X5" i="26" s="1"/>
  <c r="AC6" i="26"/>
  <c r="AC5" i="26" s="1"/>
  <c r="AD6" i="26"/>
  <c r="AD5" i="26" s="1"/>
  <c r="I6" i="26"/>
  <c r="I5" i="26" s="1"/>
  <c r="J23" i="10"/>
  <c r="J19" i="10" s="1"/>
  <c r="M23" i="10"/>
  <c r="M19" i="10" s="1"/>
  <c r="N23" i="10"/>
  <c r="N19" i="10" s="1"/>
  <c r="O23" i="10"/>
  <c r="O19" i="10" s="1"/>
  <c r="P23" i="10"/>
  <c r="P19" i="10" s="1"/>
  <c r="Q23" i="10"/>
  <c r="Q19" i="10" s="1"/>
  <c r="R23" i="10"/>
  <c r="R19" i="10" s="1"/>
  <c r="S23" i="10"/>
  <c r="S19" i="10" s="1"/>
  <c r="T23" i="10"/>
  <c r="T19" i="10" s="1"/>
  <c r="U23" i="10"/>
  <c r="U19" i="10" s="1"/>
  <c r="V23" i="10"/>
  <c r="V19" i="10" s="1"/>
  <c r="W23" i="10"/>
  <c r="W19" i="10" s="1"/>
  <c r="X23" i="10"/>
  <c r="X19" i="10" s="1"/>
  <c r="AC23" i="10"/>
  <c r="AC19" i="10" s="1"/>
  <c r="AD23" i="10"/>
  <c r="AD19" i="10" s="1"/>
  <c r="I23" i="10"/>
  <c r="I19" i="10" s="1"/>
  <c r="J5" i="10"/>
  <c r="M5" i="10"/>
  <c r="N5" i="10"/>
  <c r="O5" i="10"/>
  <c r="P5" i="10"/>
  <c r="Q5" i="10"/>
  <c r="R5" i="10"/>
  <c r="S5" i="10"/>
  <c r="T5" i="10"/>
  <c r="U5" i="10"/>
  <c r="V5" i="10"/>
  <c r="W5" i="10"/>
  <c r="X5" i="10"/>
  <c r="AC5" i="10"/>
  <c r="AD5" i="10"/>
  <c r="I5" i="10"/>
  <c r="J12" i="30"/>
  <c r="J11" i="30" s="1"/>
  <c r="M12" i="30"/>
  <c r="M11" i="30" s="1"/>
  <c r="N12" i="30"/>
  <c r="N11" i="30" s="1"/>
  <c r="O12" i="30"/>
  <c r="O11" i="30" s="1"/>
  <c r="P12" i="30"/>
  <c r="P11" i="30" s="1"/>
  <c r="Q12" i="30"/>
  <c r="Q11" i="30" s="1"/>
  <c r="R12" i="30"/>
  <c r="R11" i="30" s="1"/>
  <c r="S12" i="30"/>
  <c r="S11" i="30" s="1"/>
  <c r="T12" i="30"/>
  <c r="T11" i="30" s="1"/>
  <c r="U12" i="30"/>
  <c r="U11" i="30" s="1"/>
  <c r="V12" i="30"/>
  <c r="V11" i="30" s="1"/>
  <c r="W12" i="30"/>
  <c r="W11" i="30" s="1"/>
  <c r="X12" i="30"/>
  <c r="X11" i="30" s="1"/>
  <c r="AC12" i="30"/>
  <c r="AC11" i="30" s="1"/>
  <c r="AD12" i="30"/>
  <c r="AD11" i="30" s="1"/>
  <c r="I12" i="30"/>
  <c r="I11" i="30" s="1"/>
  <c r="J6" i="30"/>
  <c r="J5" i="30" s="1"/>
  <c r="M6" i="30"/>
  <c r="M5" i="30" s="1"/>
  <c r="N6" i="30"/>
  <c r="N5" i="30" s="1"/>
  <c r="O6" i="30"/>
  <c r="O5" i="30" s="1"/>
  <c r="P6" i="30"/>
  <c r="P5" i="30" s="1"/>
  <c r="Q6" i="30"/>
  <c r="Q5" i="30" s="1"/>
  <c r="R6" i="30"/>
  <c r="R5" i="30" s="1"/>
  <c r="S6" i="30"/>
  <c r="S5" i="30" s="1"/>
  <c r="T6" i="30"/>
  <c r="T5" i="30" s="1"/>
  <c r="U6" i="30"/>
  <c r="U5" i="30" s="1"/>
  <c r="V6" i="30"/>
  <c r="V5" i="30" s="1"/>
  <c r="W6" i="30"/>
  <c r="W5" i="30" s="1"/>
  <c r="X6" i="30"/>
  <c r="X5" i="30" s="1"/>
  <c r="AC6" i="30"/>
  <c r="AC5" i="30" s="1"/>
  <c r="AD6" i="30"/>
  <c r="AD5" i="30" s="1"/>
  <c r="I6" i="30"/>
  <c r="I5" i="30" s="1"/>
  <c r="J14" i="29"/>
  <c r="J13" i="29" s="1"/>
  <c r="M14" i="29"/>
  <c r="M13" i="29" s="1"/>
  <c r="N14" i="29"/>
  <c r="N13" i="29" s="1"/>
  <c r="O14" i="29"/>
  <c r="O13" i="29" s="1"/>
  <c r="P14" i="29"/>
  <c r="P13" i="29" s="1"/>
  <c r="Q14" i="29"/>
  <c r="Q13" i="29" s="1"/>
  <c r="R14" i="29"/>
  <c r="R13" i="29" s="1"/>
  <c r="S14" i="29"/>
  <c r="S13" i="29" s="1"/>
  <c r="T14" i="29"/>
  <c r="T13" i="29" s="1"/>
  <c r="U14" i="29"/>
  <c r="U13" i="29" s="1"/>
  <c r="V14" i="29"/>
  <c r="V13" i="29" s="1"/>
  <c r="W14" i="29"/>
  <c r="W13" i="29" s="1"/>
  <c r="X14" i="29"/>
  <c r="X13" i="29" s="1"/>
  <c r="AC14" i="29"/>
  <c r="AC13" i="29" s="1"/>
  <c r="AD14" i="29"/>
  <c r="AD13" i="29" s="1"/>
  <c r="I14" i="29"/>
  <c r="I13" i="29" s="1"/>
  <c r="J10" i="29"/>
  <c r="J9" i="29" s="1"/>
  <c r="M10" i="29"/>
  <c r="M9" i="29" s="1"/>
  <c r="N10" i="29"/>
  <c r="N9" i="29" s="1"/>
  <c r="O10" i="29"/>
  <c r="O9" i="29" s="1"/>
  <c r="P10" i="29"/>
  <c r="P9" i="29" s="1"/>
  <c r="Q10" i="29"/>
  <c r="Q9" i="29" s="1"/>
  <c r="R10" i="29"/>
  <c r="R9" i="29" s="1"/>
  <c r="S10" i="29"/>
  <c r="S9" i="29" s="1"/>
  <c r="T10" i="29"/>
  <c r="T9" i="29" s="1"/>
  <c r="U10" i="29"/>
  <c r="U9" i="29" s="1"/>
  <c r="V10" i="29"/>
  <c r="V9" i="29" s="1"/>
  <c r="W10" i="29"/>
  <c r="W9" i="29" s="1"/>
  <c r="X10" i="29"/>
  <c r="X9" i="29" s="1"/>
  <c r="AC10" i="29"/>
  <c r="AC9" i="29" s="1"/>
  <c r="AD10" i="29"/>
  <c r="AD9" i="29" s="1"/>
  <c r="I10" i="29"/>
  <c r="I9" i="29" s="1"/>
  <c r="J6" i="29"/>
  <c r="J5" i="29" s="1"/>
  <c r="M6" i="29"/>
  <c r="M5" i="29" s="1"/>
  <c r="N5" i="29"/>
  <c r="O6" i="29"/>
  <c r="O5" i="29" s="1"/>
  <c r="P6" i="29"/>
  <c r="P5" i="29" s="1"/>
  <c r="Q6" i="29"/>
  <c r="Q5" i="29" s="1"/>
  <c r="R6" i="29"/>
  <c r="R5" i="29" s="1"/>
  <c r="S6" i="29"/>
  <c r="S5" i="29" s="1"/>
  <c r="T6" i="29"/>
  <c r="T5" i="29" s="1"/>
  <c r="U6" i="29"/>
  <c r="U5" i="29" s="1"/>
  <c r="V6" i="29"/>
  <c r="V5" i="29" s="1"/>
  <c r="W6" i="29"/>
  <c r="W5" i="29" s="1"/>
  <c r="X6" i="29"/>
  <c r="X5" i="29" s="1"/>
  <c r="AC6" i="29"/>
  <c r="AC5" i="29" s="1"/>
  <c r="AD6" i="29"/>
  <c r="AD5" i="29" s="1"/>
  <c r="I6" i="29"/>
  <c r="I5" i="29" s="1"/>
  <c r="J12" i="28"/>
  <c r="J11" i="28" s="1"/>
  <c r="M12" i="28"/>
  <c r="M11" i="28" s="1"/>
  <c r="N12" i="28"/>
  <c r="N11" i="28" s="1"/>
  <c r="O12" i="28"/>
  <c r="O11" i="28" s="1"/>
  <c r="P12" i="28"/>
  <c r="P11" i="28" s="1"/>
  <c r="Q12" i="28"/>
  <c r="Q11" i="28" s="1"/>
  <c r="R12" i="28"/>
  <c r="R11" i="28" s="1"/>
  <c r="S12" i="28"/>
  <c r="S11" i="28" s="1"/>
  <c r="T12" i="28"/>
  <c r="T11" i="28" s="1"/>
  <c r="U12" i="28"/>
  <c r="U11" i="28" s="1"/>
  <c r="V12" i="28"/>
  <c r="V11" i="28" s="1"/>
  <c r="W12" i="28"/>
  <c r="W11" i="28" s="1"/>
  <c r="X12" i="28"/>
  <c r="X11" i="28" s="1"/>
  <c r="AC12" i="28"/>
  <c r="AC11" i="28" s="1"/>
  <c r="AD12" i="28"/>
  <c r="AD11" i="28" s="1"/>
  <c r="I12" i="28"/>
  <c r="I11" i="28" s="1"/>
  <c r="J6" i="28"/>
  <c r="J5" i="28" s="1"/>
  <c r="M6" i="28"/>
  <c r="M5" i="28" s="1"/>
  <c r="N6" i="28"/>
  <c r="N5" i="28" s="1"/>
  <c r="O6" i="28"/>
  <c r="O5" i="28" s="1"/>
  <c r="P6" i="28"/>
  <c r="P5" i="28" s="1"/>
  <c r="Q6" i="28"/>
  <c r="Q5" i="28" s="1"/>
  <c r="R6" i="28"/>
  <c r="R5" i="28" s="1"/>
  <c r="S6" i="28"/>
  <c r="S5" i="28" s="1"/>
  <c r="T6" i="28"/>
  <c r="T5" i="28" s="1"/>
  <c r="U6" i="28"/>
  <c r="U5" i="28" s="1"/>
  <c r="V6" i="28"/>
  <c r="V5" i="28" s="1"/>
  <c r="W6" i="28"/>
  <c r="W5" i="28" s="1"/>
  <c r="X6" i="28"/>
  <c r="X5" i="28" s="1"/>
  <c r="AC6" i="28"/>
  <c r="AC5" i="28" s="1"/>
  <c r="AD6" i="28"/>
  <c r="AD5" i="28" s="1"/>
  <c r="I6" i="28"/>
  <c r="I5" i="28" s="1"/>
  <c r="J48" i="27"/>
  <c r="M48" i="27"/>
  <c r="N48" i="27"/>
  <c r="O48" i="27"/>
  <c r="P48" i="27"/>
  <c r="Q48" i="27"/>
  <c r="R48" i="27"/>
  <c r="S48" i="27"/>
  <c r="T48" i="27"/>
  <c r="U48" i="27"/>
  <c r="V48" i="27"/>
  <c r="W48" i="27"/>
  <c r="X48" i="27"/>
  <c r="AC48" i="27"/>
  <c r="AD48" i="27"/>
  <c r="I48" i="27"/>
  <c r="J45" i="27"/>
  <c r="J44" i="27" s="1"/>
  <c r="M45" i="27"/>
  <c r="M44" i="27" s="1"/>
  <c r="N45" i="27"/>
  <c r="N44" i="27" s="1"/>
  <c r="O45" i="27"/>
  <c r="O44" i="27" s="1"/>
  <c r="P45" i="27"/>
  <c r="P44" i="27" s="1"/>
  <c r="Q45" i="27"/>
  <c r="Q44" i="27" s="1"/>
  <c r="R45" i="27"/>
  <c r="R44" i="27" s="1"/>
  <c r="S45" i="27"/>
  <c r="S44" i="27" s="1"/>
  <c r="T45" i="27"/>
  <c r="T44" i="27" s="1"/>
  <c r="U45" i="27"/>
  <c r="U44" i="27" s="1"/>
  <c r="V45" i="27"/>
  <c r="V44" i="27" s="1"/>
  <c r="W45" i="27"/>
  <c r="W44" i="27" s="1"/>
  <c r="X45" i="27"/>
  <c r="X44" i="27" s="1"/>
  <c r="AC45" i="27"/>
  <c r="AC44" i="27" s="1"/>
  <c r="AD45" i="27"/>
  <c r="AD44" i="27" s="1"/>
  <c r="I45" i="27"/>
  <c r="I44" i="27" s="1"/>
  <c r="J41" i="27"/>
  <c r="M41" i="27"/>
  <c r="N41" i="27"/>
  <c r="O41" i="27"/>
  <c r="P41" i="27"/>
  <c r="Q41" i="27"/>
  <c r="R41" i="27"/>
  <c r="S41" i="27"/>
  <c r="T41" i="27"/>
  <c r="U41" i="27"/>
  <c r="V41" i="27"/>
  <c r="W41" i="27"/>
  <c r="X41" i="27"/>
  <c r="AC41" i="27"/>
  <c r="AD41" i="27"/>
  <c r="I41" i="27"/>
  <c r="J32" i="27"/>
  <c r="M32" i="27"/>
  <c r="N32" i="27"/>
  <c r="O32" i="27"/>
  <c r="P32" i="27"/>
  <c r="Q32" i="27"/>
  <c r="R32" i="27"/>
  <c r="S32" i="27"/>
  <c r="T32" i="27"/>
  <c r="U32" i="27"/>
  <c r="V32" i="27"/>
  <c r="W32" i="27"/>
  <c r="X32" i="27"/>
  <c r="AC32" i="27"/>
  <c r="AD32" i="27"/>
  <c r="I32" i="27"/>
  <c r="J29" i="27"/>
  <c r="J28" i="27" s="1"/>
  <c r="M29" i="27"/>
  <c r="M28" i="27" s="1"/>
  <c r="N29" i="27"/>
  <c r="N28" i="27" s="1"/>
  <c r="O29" i="27"/>
  <c r="O28" i="27" s="1"/>
  <c r="P29" i="27"/>
  <c r="P28" i="27" s="1"/>
  <c r="Q29" i="27"/>
  <c r="Q28" i="27" s="1"/>
  <c r="R29" i="27"/>
  <c r="R28" i="27" s="1"/>
  <c r="S29" i="27"/>
  <c r="S28" i="27" s="1"/>
  <c r="T29" i="27"/>
  <c r="T28" i="27" s="1"/>
  <c r="U29" i="27"/>
  <c r="U28" i="27" s="1"/>
  <c r="V29" i="27"/>
  <c r="V28" i="27" s="1"/>
  <c r="W29" i="27"/>
  <c r="W28" i="27" s="1"/>
  <c r="X29" i="27"/>
  <c r="X28" i="27" s="1"/>
  <c r="AC29" i="27"/>
  <c r="AC28" i="27" s="1"/>
  <c r="AD29" i="27"/>
  <c r="AD28" i="27" s="1"/>
  <c r="I29" i="27"/>
  <c r="I28" i="27" s="1"/>
  <c r="J25" i="27"/>
  <c r="M25" i="27"/>
  <c r="N25" i="27"/>
  <c r="O25" i="27"/>
  <c r="P25" i="27"/>
  <c r="Q25" i="27"/>
  <c r="R25" i="27"/>
  <c r="S25" i="27"/>
  <c r="T25" i="27"/>
  <c r="U25" i="27"/>
  <c r="V25" i="27"/>
  <c r="W25" i="27"/>
  <c r="X25" i="27"/>
  <c r="AC25" i="27"/>
  <c r="AD25" i="27"/>
  <c r="I25" i="27"/>
  <c r="J22" i="27"/>
  <c r="J21" i="27" s="1"/>
  <c r="M22" i="27"/>
  <c r="M21" i="27" s="1"/>
  <c r="N22" i="27"/>
  <c r="N21" i="27" s="1"/>
  <c r="O22" i="27"/>
  <c r="O21" i="27" s="1"/>
  <c r="P22" i="27"/>
  <c r="P21" i="27" s="1"/>
  <c r="Q22" i="27"/>
  <c r="Q21" i="27" s="1"/>
  <c r="R22" i="27"/>
  <c r="R21" i="27" s="1"/>
  <c r="S22" i="27"/>
  <c r="S21" i="27" s="1"/>
  <c r="T22" i="27"/>
  <c r="T21" i="27" s="1"/>
  <c r="U22" i="27"/>
  <c r="U21" i="27" s="1"/>
  <c r="V22" i="27"/>
  <c r="V21" i="27" s="1"/>
  <c r="W22" i="27"/>
  <c r="W21" i="27" s="1"/>
  <c r="X22" i="27"/>
  <c r="X21" i="27" s="1"/>
  <c r="AC22" i="27"/>
  <c r="AC21" i="27" s="1"/>
  <c r="AD22" i="27"/>
  <c r="AD21" i="27" s="1"/>
  <c r="I22" i="27"/>
  <c r="I21" i="27" s="1"/>
  <c r="J18" i="27"/>
  <c r="M18" i="27"/>
  <c r="N18" i="27"/>
  <c r="O18" i="27"/>
  <c r="P18" i="27"/>
  <c r="Q18" i="27"/>
  <c r="R18" i="27"/>
  <c r="S18" i="27"/>
  <c r="T18" i="27"/>
  <c r="U18" i="27"/>
  <c r="V18" i="27"/>
  <c r="W18" i="27"/>
  <c r="X18" i="27"/>
  <c r="AC18" i="27"/>
  <c r="AD18" i="27"/>
  <c r="I18" i="27"/>
  <c r="J5" i="27"/>
  <c r="M5" i="27"/>
  <c r="N5" i="27"/>
  <c r="O5" i="27"/>
  <c r="P5" i="27"/>
  <c r="Q5" i="27"/>
  <c r="R5" i="27"/>
  <c r="S5" i="27"/>
  <c r="T5" i="27"/>
  <c r="U5" i="27"/>
  <c r="V5" i="27"/>
  <c r="W5" i="27"/>
  <c r="X5" i="27"/>
  <c r="AC5" i="27"/>
  <c r="AD5" i="27"/>
  <c r="I5" i="27"/>
  <c r="J18" i="25"/>
  <c r="J17" i="25" s="1"/>
  <c r="M18" i="25"/>
  <c r="M17" i="25" s="1"/>
  <c r="N18" i="25"/>
  <c r="N17" i="25" s="1"/>
  <c r="O18" i="25"/>
  <c r="O17" i="25" s="1"/>
  <c r="P18" i="25"/>
  <c r="P17" i="25" s="1"/>
  <c r="Q18" i="25"/>
  <c r="Q17" i="25" s="1"/>
  <c r="R18" i="25"/>
  <c r="R17" i="25" s="1"/>
  <c r="S18" i="25"/>
  <c r="S17" i="25" s="1"/>
  <c r="T18" i="25"/>
  <c r="T17" i="25" s="1"/>
  <c r="U18" i="25"/>
  <c r="U17" i="25" s="1"/>
  <c r="V18" i="25"/>
  <c r="V17" i="25" s="1"/>
  <c r="W18" i="25"/>
  <c r="W17" i="25" s="1"/>
  <c r="X18" i="25"/>
  <c r="X17" i="25" s="1"/>
  <c r="AC18" i="25"/>
  <c r="AC17" i="25" s="1"/>
  <c r="AD18" i="25"/>
  <c r="AD17" i="25" s="1"/>
  <c r="I18" i="25"/>
  <c r="I17" i="25" s="1"/>
  <c r="J14" i="25"/>
  <c r="M14" i="25"/>
  <c r="N14" i="25"/>
  <c r="O14" i="25"/>
  <c r="P14" i="25"/>
  <c r="Q14" i="25"/>
  <c r="R14" i="25"/>
  <c r="S14" i="25"/>
  <c r="T14" i="25"/>
  <c r="U14" i="25"/>
  <c r="V14" i="25"/>
  <c r="W14" i="25"/>
  <c r="X14" i="25"/>
  <c r="AC14" i="25"/>
  <c r="AD14" i="25"/>
  <c r="I14" i="25"/>
  <c r="J11" i="25"/>
  <c r="J10" i="25" s="1"/>
  <c r="M11" i="25"/>
  <c r="M10" i="25" s="1"/>
  <c r="N11" i="25"/>
  <c r="N10" i="25" s="1"/>
  <c r="O11" i="25"/>
  <c r="O10" i="25" s="1"/>
  <c r="P11" i="25"/>
  <c r="P10" i="25" s="1"/>
  <c r="Q11" i="25"/>
  <c r="Q10" i="25" s="1"/>
  <c r="R11" i="25"/>
  <c r="R10" i="25" s="1"/>
  <c r="S11" i="25"/>
  <c r="S10" i="25" s="1"/>
  <c r="T11" i="25"/>
  <c r="T10" i="25" s="1"/>
  <c r="U11" i="25"/>
  <c r="U10" i="25" s="1"/>
  <c r="V11" i="25"/>
  <c r="V10" i="25" s="1"/>
  <c r="W11" i="25"/>
  <c r="W10" i="25" s="1"/>
  <c r="X11" i="25"/>
  <c r="X10" i="25" s="1"/>
  <c r="AC11" i="25"/>
  <c r="AC10" i="25" s="1"/>
  <c r="AD11" i="25"/>
  <c r="AD10" i="25" s="1"/>
  <c r="I11" i="25"/>
  <c r="I10" i="25" s="1"/>
  <c r="J6" i="25"/>
  <c r="J5" i="25" s="1"/>
  <c r="M6" i="25"/>
  <c r="M5" i="25" s="1"/>
  <c r="N6" i="25"/>
  <c r="N5" i="25" s="1"/>
  <c r="O6" i="25"/>
  <c r="O5" i="25" s="1"/>
  <c r="P6" i="25"/>
  <c r="P5" i="25" s="1"/>
  <c r="Q6" i="25"/>
  <c r="Q5" i="25" s="1"/>
  <c r="R6" i="25"/>
  <c r="R5" i="25" s="1"/>
  <c r="S6" i="25"/>
  <c r="S5" i="25" s="1"/>
  <c r="T6" i="25"/>
  <c r="T5" i="25" s="1"/>
  <c r="U6" i="25"/>
  <c r="U5" i="25" s="1"/>
  <c r="V6" i="25"/>
  <c r="V5" i="25" s="1"/>
  <c r="W6" i="25"/>
  <c r="W5" i="25" s="1"/>
  <c r="X6" i="25"/>
  <c r="X5" i="25" s="1"/>
  <c r="AC6" i="25"/>
  <c r="AC5" i="25" s="1"/>
  <c r="AD6" i="25"/>
  <c r="AD5" i="25" s="1"/>
  <c r="I6" i="25"/>
  <c r="I5" i="25" s="1"/>
  <c r="J10" i="2"/>
  <c r="M10" i="2"/>
  <c r="N10" i="2"/>
  <c r="O10" i="2"/>
  <c r="P10" i="2"/>
  <c r="Q10" i="2"/>
  <c r="R10" i="2"/>
  <c r="S10" i="2"/>
  <c r="T10" i="2"/>
  <c r="U10" i="2"/>
  <c r="V10" i="2"/>
  <c r="W10" i="2"/>
  <c r="X10" i="2"/>
  <c r="AC10" i="2"/>
  <c r="AD10" i="2"/>
  <c r="I10" i="2"/>
  <c r="J6" i="2"/>
  <c r="J5" i="2" s="1"/>
  <c r="M6" i="2"/>
  <c r="M5" i="2" s="1"/>
  <c r="N6" i="2"/>
  <c r="N5" i="2" s="1"/>
  <c r="O6" i="2"/>
  <c r="O5" i="2" s="1"/>
  <c r="P6" i="2"/>
  <c r="P5" i="2" s="1"/>
  <c r="Q6" i="2"/>
  <c r="Q5" i="2" s="1"/>
  <c r="R6" i="2"/>
  <c r="R5" i="2" s="1"/>
  <c r="S6" i="2"/>
  <c r="S5" i="2" s="1"/>
  <c r="T6" i="2"/>
  <c r="T5" i="2" s="1"/>
  <c r="U6" i="2"/>
  <c r="U5" i="2" s="1"/>
  <c r="V6" i="2"/>
  <c r="V5" i="2" s="1"/>
  <c r="W6" i="2"/>
  <c r="W5" i="2" s="1"/>
  <c r="X6" i="2"/>
  <c r="X5" i="2" s="1"/>
  <c r="AC6" i="2"/>
  <c r="AC5" i="2" s="1"/>
  <c r="AD6" i="2"/>
  <c r="AD5" i="2" s="1"/>
  <c r="I6" i="2"/>
  <c r="I5" i="2" s="1"/>
  <c r="J26" i="31"/>
  <c r="M26" i="31"/>
  <c r="N26" i="31"/>
  <c r="O26" i="31"/>
  <c r="P26" i="31"/>
  <c r="Q26" i="31"/>
  <c r="R26" i="31"/>
  <c r="S26" i="31"/>
  <c r="T26" i="31"/>
  <c r="U26" i="31"/>
  <c r="V26" i="31"/>
  <c r="W26" i="31"/>
  <c r="X26" i="31"/>
  <c r="AC26" i="31"/>
  <c r="AD26" i="31"/>
  <c r="I26" i="31"/>
  <c r="J17" i="31"/>
  <c r="M17" i="31"/>
  <c r="N17" i="31"/>
  <c r="O17" i="31"/>
  <c r="P17" i="31"/>
  <c r="Q17" i="31"/>
  <c r="R17" i="31"/>
  <c r="S17" i="31"/>
  <c r="T17" i="31"/>
  <c r="U17" i="31"/>
  <c r="V17" i="31"/>
  <c r="W17" i="31"/>
  <c r="X17" i="31"/>
  <c r="AC17" i="31"/>
  <c r="AD17" i="31"/>
  <c r="I17" i="31"/>
  <c r="J11" i="31"/>
  <c r="J5" i="31" s="1"/>
  <c r="M11" i="31"/>
  <c r="M5" i="31" s="1"/>
  <c r="N11" i="31"/>
  <c r="N5" i="31" s="1"/>
  <c r="O11" i="31"/>
  <c r="O5" i="31" s="1"/>
  <c r="P11" i="31"/>
  <c r="P5" i="31" s="1"/>
  <c r="Q11" i="31"/>
  <c r="Q5" i="31" s="1"/>
  <c r="R11" i="31"/>
  <c r="R5" i="31" s="1"/>
  <c r="S11" i="31"/>
  <c r="S5" i="31" s="1"/>
  <c r="T11" i="31"/>
  <c r="T5" i="31" s="1"/>
  <c r="U11" i="31"/>
  <c r="U5" i="31" s="1"/>
  <c r="V11" i="31"/>
  <c r="V5" i="31" s="1"/>
  <c r="W11" i="31"/>
  <c r="W5" i="31" s="1"/>
  <c r="X11" i="31"/>
  <c r="X5" i="31" s="1"/>
  <c r="AC11" i="31"/>
  <c r="AC5" i="31" s="1"/>
  <c r="AD11" i="31"/>
  <c r="AD5" i="31" s="1"/>
  <c r="I11" i="31"/>
  <c r="I5" i="31" s="1"/>
  <c r="J20" i="5"/>
  <c r="J16" i="5" s="1"/>
  <c r="M20" i="5"/>
  <c r="M16" i="5" s="1"/>
  <c r="N20" i="5"/>
  <c r="N16" i="5" s="1"/>
  <c r="O20" i="5"/>
  <c r="O16" i="5" s="1"/>
  <c r="P20" i="5"/>
  <c r="P16" i="5" s="1"/>
  <c r="Q20" i="5"/>
  <c r="Q16" i="5" s="1"/>
  <c r="R20" i="5"/>
  <c r="R16" i="5" s="1"/>
  <c r="S20" i="5"/>
  <c r="S16" i="5" s="1"/>
  <c r="T20" i="5"/>
  <c r="T16" i="5" s="1"/>
  <c r="U20" i="5"/>
  <c r="U16" i="5" s="1"/>
  <c r="V20" i="5"/>
  <c r="V16" i="5" s="1"/>
  <c r="W20" i="5"/>
  <c r="W16" i="5" s="1"/>
  <c r="X20" i="5"/>
  <c r="X16" i="5" s="1"/>
  <c r="AC20" i="5"/>
  <c r="AC16" i="5" s="1"/>
  <c r="AD20" i="5"/>
  <c r="AD16" i="5" s="1"/>
  <c r="I20" i="5"/>
  <c r="I16" i="5" s="1"/>
  <c r="J9" i="5"/>
  <c r="J5" i="5" s="1"/>
  <c r="M9" i="5"/>
  <c r="M5" i="5" s="1"/>
  <c r="N9" i="5"/>
  <c r="N5" i="5" s="1"/>
  <c r="O9" i="5"/>
  <c r="O5" i="5" s="1"/>
  <c r="P9" i="5"/>
  <c r="P5" i="5" s="1"/>
  <c r="Q9" i="5"/>
  <c r="Q5" i="5" s="1"/>
  <c r="R9" i="5"/>
  <c r="R5" i="5" s="1"/>
  <c r="S9" i="5"/>
  <c r="S5" i="5" s="1"/>
  <c r="T9" i="5"/>
  <c r="T5" i="5" s="1"/>
  <c r="U9" i="5"/>
  <c r="U5" i="5" s="1"/>
  <c r="V9" i="5"/>
  <c r="V5" i="5" s="1"/>
  <c r="W9" i="5"/>
  <c r="W5" i="5" s="1"/>
  <c r="X9" i="5"/>
  <c r="X5" i="5" s="1"/>
  <c r="AC9" i="5"/>
  <c r="AC5" i="5" s="1"/>
  <c r="AD9" i="5"/>
  <c r="AD5" i="5" s="1"/>
  <c r="I9" i="5"/>
  <c r="I5" i="5" s="1"/>
  <c r="H19" i="25"/>
  <c r="H17" i="25"/>
  <c r="H30" i="10"/>
  <c r="H25" i="10"/>
  <c r="H18" i="10"/>
  <c r="H17" i="10"/>
  <c r="H12" i="10"/>
  <c r="B14" i="19"/>
  <c r="D14" i="19"/>
  <c r="E14" i="19"/>
  <c r="C14" i="19"/>
  <c r="A14" i="19"/>
  <c r="K14" i="19" s="1"/>
  <c r="N14" i="19" s="1"/>
  <c r="H10" i="28"/>
  <c r="H40" i="27"/>
  <c r="H14" i="26"/>
  <c r="H11" i="26"/>
  <c r="H10" i="26"/>
  <c r="H7" i="26"/>
  <c r="H12" i="26"/>
  <c r="H8" i="26"/>
  <c r="H5" i="26"/>
  <c r="H1" i="26"/>
  <c r="H29" i="10"/>
  <c r="H28" i="10"/>
  <c r="H27" i="10"/>
  <c r="H26" i="10"/>
  <c r="H16" i="10"/>
  <c r="H15" i="10"/>
  <c r="H14" i="10"/>
  <c r="H13" i="10"/>
  <c r="H31" i="10"/>
  <c r="H11" i="10"/>
  <c r="H22" i="10"/>
  <c r="H21" i="10"/>
  <c r="H10" i="10"/>
  <c r="H9" i="10"/>
  <c r="H8" i="10"/>
  <c r="H23" i="10"/>
  <c r="H5" i="10"/>
  <c r="H7" i="10"/>
  <c r="H1" i="10"/>
  <c r="H13" i="30"/>
  <c r="H10" i="30"/>
  <c r="H8" i="30"/>
  <c r="H11" i="30"/>
  <c r="H7" i="30"/>
  <c r="H5" i="30"/>
  <c r="H1" i="30"/>
  <c r="H16" i="29"/>
  <c r="H17" i="29"/>
  <c r="H15" i="29"/>
  <c r="H12" i="29"/>
  <c r="H11" i="29"/>
  <c r="H8" i="29"/>
  <c r="H13" i="29"/>
  <c r="H9" i="29"/>
  <c r="H7" i="29"/>
  <c r="H5" i="29"/>
  <c r="H1" i="29"/>
  <c r="H14" i="28"/>
  <c r="H13" i="28"/>
  <c r="H9" i="28"/>
  <c r="H11" i="28"/>
  <c r="H15" i="28"/>
  <c r="H8" i="28"/>
  <c r="H7" i="28"/>
  <c r="H5" i="28"/>
  <c r="H1" i="28"/>
  <c r="H50" i="27"/>
  <c r="H46" i="27"/>
  <c r="H43" i="27"/>
  <c r="H39" i="27"/>
  <c r="H10" i="27"/>
  <c r="H35" i="27"/>
  <c r="H14" i="27"/>
  <c r="H30" i="27"/>
  <c r="H27" i="27"/>
  <c r="H20" i="27"/>
  <c r="H8" i="27"/>
  <c r="H48" i="27"/>
  <c r="H44" i="27"/>
  <c r="H41" i="27"/>
  <c r="H37" i="27"/>
  <c r="H32" i="27"/>
  <c r="H28" i="27"/>
  <c r="H25" i="27"/>
  <c r="H21" i="27"/>
  <c r="H18" i="27"/>
  <c r="H7" i="27"/>
  <c r="H5" i="27"/>
  <c r="H1" i="27"/>
  <c r="H12" i="25"/>
  <c r="H8" i="25"/>
  <c r="H7" i="25"/>
  <c r="H14" i="25"/>
  <c r="H10" i="25"/>
  <c r="H16" i="25"/>
  <c r="H13" i="25"/>
  <c r="H9" i="25"/>
  <c r="H5" i="25"/>
  <c r="H1" i="25"/>
  <c r="H10" i="2"/>
  <c r="H12" i="2"/>
  <c r="H9" i="2"/>
  <c r="H8" i="2"/>
  <c r="H7" i="2"/>
  <c r="H5" i="2"/>
  <c r="H1" i="2"/>
  <c r="H26" i="31"/>
  <c r="H17" i="31"/>
  <c r="H25" i="31"/>
  <c r="H16" i="31"/>
  <c r="H15" i="31"/>
  <c r="H14" i="31"/>
  <c r="H11" i="31"/>
  <c r="H8" i="31"/>
  <c r="H24" i="31"/>
  <c r="H21" i="31"/>
  <c r="H19" i="31"/>
  <c r="H7" i="31"/>
  <c r="H5" i="31"/>
  <c r="H1" i="31"/>
  <c r="H1" i="5"/>
  <c r="H22" i="5"/>
  <c r="H23" i="5"/>
  <c r="H13" i="5"/>
  <c r="H20" i="5"/>
  <c r="H9" i="5"/>
  <c r="H12" i="5"/>
  <c r="H14" i="5"/>
  <c r="H11" i="5"/>
  <c r="H18" i="5"/>
  <c r="H15" i="5"/>
  <c r="C56" i="19"/>
  <c r="D21" i="21"/>
  <c r="K13" i="21" s="1"/>
  <c r="D20" i="21"/>
  <c r="D19" i="21"/>
  <c r="A51" i="19"/>
  <c r="K51" i="19" s="1"/>
  <c r="N51" i="19" s="1"/>
  <c r="A50" i="19"/>
  <c r="K50" i="19" s="1"/>
  <c r="N50" i="19" s="1"/>
  <c r="A49" i="19"/>
  <c r="K49" i="19" s="1"/>
  <c r="N49" i="19" s="1"/>
  <c r="A48" i="19"/>
  <c r="A27" i="19"/>
  <c r="K27" i="19" s="1"/>
  <c r="N27" i="19" s="1"/>
  <c r="A61" i="19"/>
  <c r="K61" i="19" s="1"/>
  <c r="N61" i="19" s="1"/>
  <c r="A59" i="19"/>
  <c r="K59" i="19" s="1"/>
  <c r="N59" i="19" s="1"/>
  <c r="A58" i="19"/>
  <c r="A30" i="19"/>
  <c r="K30" i="19" s="1"/>
  <c r="N30" i="19" s="1"/>
  <c r="A29" i="19"/>
  <c r="K29" i="19" s="1"/>
  <c r="N29" i="19" s="1"/>
  <c r="A28" i="19"/>
  <c r="A37" i="19"/>
  <c r="K37" i="19" s="1"/>
  <c r="N37" i="19" s="1"/>
  <c r="A36" i="19"/>
  <c r="K36" i="19" s="1"/>
  <c r="N36" i="19" s="1"/>
  <c r="A35" i="19"/>
  <c r="K35" i="19" s="1"/>
  <c r="N35" i="19" s="1"/>
  <c r="A34" i="19"/>
  <c r="A33" i="19"/>
  <c r="K33" i="19" s="1"/>
  <c r="N33" i="19" s="1"/>
  <c r="A32" i="19"/>
  <c r="K32" i="19" s="1"/>
  <c r="N32" i="19" s="1"/>
  <c r="A31" i="19"/>
  <c r="A15" i="19"/>
  <c r="K15" i="19" s="1"/>
  <c r="N15" i="19" s="1"/>
  <c r="B15" i="19"/>
  <c r="A13" i="19"/>
  <c r="K13" i="19" s="1"/>
  <c r="N13" i="19" s="1"/>
  <c r="A12" i="19"/>
  <c r="K12" i="19" s="1"/>
  <c r="N12" i="19" s="1"/>
  <c r="A11" i="19"/>
  <c r="K11" i="19" s="1"/>
  <c r="N11" i="19" s="1"/>
  <c r="A10" i="19"/>
  <c r="K10" i="19" s="1"/>
  <c r="N10" i="19" s="1"/>
  <c r="A9" i="19"/>
  <c r="K9" i="19" s="1"/>
  <c r="N9" i="19" s="1"/>
  <c r="A8" i="19"/>
  <c r="K8" i="19" s="1"/>
  <c r="N8" i="19" s="1"/>
  <c r="A7" i="19"/>
  <c r="K7" i="19" s="1"/>
  <c r="N7" i="19" s="1"/>
  <c r="A4" i="19"/>
  <c r="K4" i="19" s="1"/>
  <c r="N4" i="19" s="1"/>
  <c r="A3" i="19"/>
  <c r="A26" i="19"/>
  <c r="K26" i="19" s="1"/>
  <c r="N26" i="19" s="1"/>
  <c r="A25" i="19"/>
  <c r="K25" i="19" s="1"/>
  <c r="N25" i="19" s="1"/>
  <c r="A24" i="19"/>
  <c r="K24" i="19" s="1"/>
  <c r="N24" i="19" s="1"/>
  <c r="A23" i="19"/>
  <c r="A40" i="19"/>
  <c r="K40" i="19" s="1"/>
  <c r="N40" i="19" s="1"/>
  <c r="A39" i="19"/>
  <c r="A47" i="19"/>
  <c r="K47" i="19" s="1"/>
  <c r="N47" i="19" s="1"/>
  <c r="A45" i="19"/>
  <c r="K45" i="19" s="1"/>
  <c r="N45" i="19" s="1"/>
  <c r="A44" i="19"/>
  <c r="K44" i="19" s="1"/>
  <c r="N44" i="19" s="1"/>
  <c r="A43" i="19"/>
  <c r="K43" i="19" s="1"/>
  <c r="N43" i="19" s="1"/>
  <c r="A42" i="19"/>
  <c r="A57" i="19"/>
  <c r="K57" i="19" s="1"/>
  <c r="N57" i="19" s="1"/>
  <c r="A56" i="19"/>
  <c r="K56" i="19" s="1"/>
  <c r="N56" i="19" s="1"/>
  <c r="A54" i="19"/>
  <c r="K54" i="19" s="1"/>
  <c r="N54" i="19" s="1"/>
  <c r="A52" i="19"/>
  <c r="G21" i="21"/>
  <c r="C15" i="19"/>
  <c r="D15" i="19"/>
  <c r="E15" i="19"/>
  <c r="G28" i="21"/>
  <c r="G27" i="21"/>
  <c r="G25" i="21"/>
  <c r="G24" i="21"/>
  <c r="G23" i="21"/>
  <c r="G22" i="21"/>
  <c r="G20" i="21"/>
  <c r="G19" i="21"/>
  <c r="B52" i="19"/>
  <c r="C52" i="19"/>
  <c r="D52" i="19"/>
  <c r="E52" i="19"/>
  <c r="B54" i="19"/>
  <c r="C54" i="19"/>
  <c r="D54" i="19"/>
  <c r="E54" i="19"/>
  <c r="B56" i="19"/>
  <c r="D56" i="19"/>
  <c r="E56" i="19"/>
  <c r="B57" i="19"/>
  <c r="C57" i="19"/>
  <c r="D57" i="19"/>
  <c r="E57" i="19"/>
  <c r="B42" i="19"/>
  <c r="C42" i="19"/>
  <c r="D42" i="19"/>
  <c r="E42" i="19"/>
  <c r="B43" i="19"/>
  <c r="C43" i="19"/>
  <c r="D43" i="19"/>
  <c r="E43" i="19"/>
  <c r="B44" i="19"/>
  <c r="C44" i="19"/>
  <c r="D44" i="19"/>
  <c r="E44" i="19"/>
  <c r="B45" i="19"/>
  <c r="C45" i="19"/>
  <c r="D45" i="19"/>
  <c r="E45" i="19"/>
  <c r="B47" i="19"/>
  <c r="C47" i="19"/>
  <c r="D47" i="19"/>
  <c r="E47" i="19"/>
  <c r="B39" i="19"/>
  <c r="C39" i="19"/>
  <c r="D39" i="19"/>
  <c r="E39" i="19"/>
  <c r="B40" i="19"/>
  <c r="C40" i="19"/>
  <c r="D40" i="19"/>
  <c r="E40" i="19"/>
  <c r="B23" i="19"/>
  <c r="C23" i="19"/>
  <c r="D23" i="19"/>
  <c r="E23" i="19"/>
  <c r="B24" i="19"/>
  <c r="C24" i="19"/>
  <c r="D24" i="19"/>
  <c r="E24" i="19"/>
  <c r="B25" i="19"/>
  <c r="C25" i="19"/>
  <c r="D25" i="19"/>
  <c r="E25" i="19"/>
  <c r="B26" i="19"/>
  <c r="C26" i="19"/>
  <c r="D26" i="19"/>
  <c r="E26" i="19"/>
  <c r="B3" i="19"/>
  <c r="C3" i="19"/>
  <c r="D3" i="19"/>
  <c r="E3" i="19"/>
  <c r="B4" i="19"/>
  <c r="C4" i="19"/>
  <c r="D4" i="19"/>
  <c r="E4" i="19"/>
  <c r="B7" i="19"/>
  <c r="C7" i="19"/>
  <c r="D7" i="19"/>
  <c r="E7" i="19"/>
  <c r="B8" i="19"/>
  <c r="C8" i="19"/>
  <c r="D8" i="19"/>
  <c r="E8" i="19"/>
  <c r="B9" i="19"/>
  <c r="C9" i="19"/>
  <c r="D9" i="19"/>
  <c r="E9" i="19"/>
  <c r="B10" i="19"/>
  <c r="C10" i="19"/>
  <c r="D10" i="19"/>
  <c r="E10" i="19"/>
  <c r="B11" i="19"/>
  <c r="C11" i="19"/>
  <c r="D11" i="19"/>
  <c r="E11" i="19"/>
  <c r="B12" i="19"/>
  <c r="C12" i="19"/>
  <c r="D12" i="19"/>
  <c r="E12" i="19"/>
  <c r="B13" i="19"/>
  <c r="C13" i="19"/>
  <c r="D13" i="19"/>
  <c r="E13" i="19"/>
  <c r="B31" i="19"/>
  <c r="C31" i="19"/>
  <c r="D31" i="19"/>
  <c r="E31" i="19"/>
  <c r="B32" i="19"/>
  <c r="C32" i="19"/>
  <c r="D32" i="19"/>
  <c r="E32" i="19"/>
  <c r="B33" i="19"/>
  <c r="C33" i="19"/>
  <c r="D33" i="19"/>
  <c r="E33" i="19"/>
  <c r="B34" i="19"/>
  <c r="C34" i="19"/>
  <c r="D34" i="19"/>
  <c r="E34" i="19"/>
  <c r="B35" i="19"/>
  <c r="C35" i="19"/>
  <c r="D35" i="19"/>
  <c r="E35" i="19"/>
  <c r="B36" i="19"/>
  <c r="C36" i="19"/>
  <c r="D36" i="19"/>
  <c r="E36" i="19"/>
  <c r="B37" i="19"/>
  <c r="C37" i="19"/>
  <c r="D37" i="19"/>
  <c r="E37" i="19"/>
  <c r="B28" i="19"/>
  <c r="C28" i="19"/>
  <c r="D28" i="19"/>
  <c r="E28" i="19"/>
  <c r="B29" i="19"/>
  <c r="C29" i="19"/>
  <c r="D29" i="19"/>
  <c r="E29" i="19"/>
  <c r="B30" i="19"/>
  <c r="C30" i="19"/>
  <c r="D30" i="19"/>
  <c r="E30" i="19"/>
  <c r="B58" i="19"/>
  <c r="C58" i="19"/>
  <c r="D58" i="19"/>
  <c r="E58" i="19"/>
  <c r="B59" i="19"/>
  <c r="C59" i="19"/>
  <c r="D59" i="19"/>
  <c r="E59" i="19"/>
  <c r="B61" i="19"/>
  <c r="C61" i="19"/>
  <c r="D61" i="19"/>
  <c r="E61" i="19"/>
  <c r="B27" i="19"/>
  <c r="C27" i="19"/>
  <c r="D27" i="19"/>
  <c r="E27" i="19"/>
  <c r="B48" i="19"/>
  <c r="C48" i="19"/>
  <c r="D48" i="19"/>
  <c r="E48" i="19"/>
  <c r="B49" i="19"/>
  <c r="C49" i="19"/>
  <c r="D49" i="19"/>
  <c r="E49" i="19"/>
  <c r="B50" i="19"/>
  <c r="C50" i="19"/>
  <c r="D50" i="19"/>
  <c r="E50" i="19"/>
  <c r="B51" i="19"/>
  <c r="C51" i="19"/>
  <c r="D51" i="19"/>
  <c r="E51" i="19"/>
  <c r="C71" i="13"/>
  <c r="C68" i="13"/>
  <c r="C70" i="13"/>
  <c r="K12" i="21" l="1"/>
  <c r="W65" i="27"/>
  <c r="W54" i="27" s="1"/>
  <c r="O65" i="27"/>
  <c r="O54" i="27" s="1"/>
  <c r="I54" i="27"/>
  <c r="S65" i="27"/>
  <c r="S54" i="27" s="1"/>
  <c r="AC65" i="27"/>
  <c r="AC54" i="27" s="1"/>
  <c r="U65" i="27"/>
  <c r="U54" i="27" s="1"/>
  <c r="Q65" i="27"/>
  <c r="Q54" i="27" s="1"/>
  <c r="M65" i="27"/>
  <c r="M54" i="27" s="1"/>
  <c r="X65" i="27"/>
  <c r="X54" i="27" s="1"/>
  <c r="T65" i="27"/>
  <c r="T54" i="27" s="1"/>
  <c r="P65" i="27"/>
  <c r="P54" i="27" s="1"/>
  <c r="J65" i="27"/>
  <c r="J54" i="27" s="1"/>
  <c r="AD54" i="27"/>
  <c r="N54" i="27"/>
  <c r="V54" i="27"/>
  <c r="R54" i="27"/>
  <c r="D29" i="21"/>
  <c r="E29" i="21"/>
  <c r="I37" i="27" l="1"/>
  <c r="AD37" i="27"/>
  <c r="X37" i="27"/>
  <c r="W37" i="27"/>
  <c r="T37" i="27"/>
  <c r="AB37" i="27"/>
  <c r="P37" i="27"/>
  <c r="K37" i="27"/>
  <c r="J37" i="27"/>
  <c r="L37" i="27"/>
  <c r="U37" i="27"/>
  <c r="R37" i="27"/>
  <c r="S37" i="27"/>
  <c r="M37" i="27"/>
  <c r="AA37" i="27"/>
  <c r="Z37" i="27"/>
  <c r="Y37" i="27"/>
  <c r="O37" i="27"/>
  <c r="AC37" i="27"/>
  <c r="Q37" i="27"/>
  <c r="V37" i="27"/>
  <c r="N37" i="27"/>
</calcChain>
</file>

<file path=xl/comments1.xml><?xml version="1.0" encoding="utf-8"?>
<comments xmlns="http://schemas.openxmlformats.org/spreadsheetml/2006/main">
  <authors>
    <author>Ted Hills</author>
    <author>Hills, Ted (LNG-RDU)</author>
    <author>Nancy &amp; Ian Koenig</author>
    <author>Ian Koenig</author>
  </authors>
  <commentList>
    <comment ref="D7" authorId="0" shapeId="0">
      <text>
        <r>
          <rPr>
            <sz val="9"/>
            <color indexed="81"/>
            <rFont val="Tahoma"/>
            <family val="2"/>
          </rPr>
          <t>Briefly summarize the assessment of the asset including the recommendation for either release, reinvestment, or monitoring.  It should be business risk based, not emotional.</t>
        </r>
      </text>
    </comment>
    <comment ref="D8" authorId="0" shapeId="0">
      <text>
        <r>
          <rPr>
            <sz val="9"/>
            <color indexed="81"/>
            <rFont val="Tahoma"/>
            <family val="2"/>
          </rPr>
          <t>Briefly describe significant changes since last review of this system. Include links to related documents that describe system changes in more detail</t>
        </r>
      </text>
    </comment>
    <comment ref="A12" authorId="0" shapeId="0">
      <text>
        <r>
          <rPr>
            <b/>
            <sz val="9"/>
            <color indexed="81"/>
            <rFont val="Tahoma"/>
            <family val="2"/>
          </rPr>
          <t>1. Secure
2. Compliant</t>
        </r>
      </text>
    </comment>
    <comment ref="D12" authorId="0" shapeId="0">
      <text>
        <r>
          <rPr>
            <sz val="9"/>
            <color indexed="81"/>
            <rFont val="Tahoma"/>
            <family val="2"/>
          </rPr>
          <t>Identify key recommended remediation actions here.</t>
        </r>
      </text>
    </comment>
    <comment ref="G12" authorId="1" shapeId="0">
      <text>
        <r>
          <rPr>
            <sz val="9"/>
            <color indexed="81"/>
            <rFont val="Tahoma"/>
            <family val="2"/>
          </rPr>
          <t>Describe rationale for this risk value here.</t>
        </r>
      </text>
    </comment>
    <comment ref="A13" authorId="0" shapeId="0">
      <text>
        <r>
          <rPr>
            <b/>
            <sz val="9"/>
            <color indexed="81"/>
            <rFont val="Tahoma"/>
            <family val="2"/>
          </rPr>
          <t>3. Reliable
4. Scalable
5. Manageable</t>
        </r>
      </text>
    </comment>
    <comment ref="D13" authorId="0" shapeId="0">
      <text>
        <r>
          <rPr>
            <sz val="9"/>
            <color indexed="81"/>
            <rFont val="Tahoma"/>
            <family val="2"/>
          </rPr>
          <t>Identify key recommended remediation actions here.</t>
        </r>
      </text>
    </comment>
    <comment ref="G13" authorId="1" shapeId="0">
      <text>
        <r>
          <rPr>
            <sz val="9"/>
            <color indexed="81"/>
            <rFont val="Tahoma"/>
            <family val="2"/>
          </rPr>
          <t>Describe rationale for this risk value here.</t>
        </r>
      </text>
    </comment>
    <comment ref="A14" authorId="0" shapeId="0">
      <text>
        <r>
          <rPr>
            <b/>
            <sz val="9"/>
            <color indexed="81"/>
            <rFont val="Tahoma"/>
            <family val="2"/>
          </rPr>
          <t>6. Simple
7. Modular
8. Maintainable
9. Managed Data</t>
        </r>
      </text>
    </comment>
    <comment ref="D14" authorId="0" shapeId="0">
      <text>
        <r>
          <rPr>
            <sz val="9"/>
            <color indexed="81"/>
            <rFont val="Tahoma"/>
            <family val="2"/>
          </rPr>
          <t>Identify key recommended remediation actions here.</t>
        </r>
      </text>
    </comment>
    <comment ref="G14" authorId="1" shapeId="0">
      <text>
        <r>
          <rPr>
            <sz val="9"/>
            <color indexed="81"/>
            <rFont val="Tahoma"/>
            <family val="2"/>
          </rPr>
          <t>Describe rationale for this risk value here.</t>
        </r>
      </text>
    </comment>
    <comment ref="A15" authorId="0" shapeId="0">
      <text>
        <r>
          <rPr>
            <b/>
            <sz val="9"/>
            <color indexed="81"/>
            <rFont val="Tahoma"/>
            <family val="2"/>
          </rPr>
          <t>10. Global</t>
        </r>
      </text>
    </comment>
    <comment ref="D15" authorId="0" shapeId="0">
      <text>
        <r>
          <rPr>
            <sz val="9"/>
            <color indexed="81"/>
            <rFont val="Tahoma"/>
            <family val="2"/>
          </rPr>
          <t>Identify key recommended remediation actions here.</t>
        </r>
      </text>
    </comment>
    <comment ref="G15" authorId="1" shapeId="0">
      <text>
        <r>
          <rPr>
            <sz val="9"/>
            <color indexed="81"/>
            <rFont val="Tahoma"/>
            <family val="2"/>
          </rPr>
          <t>Describe rationale for this risk value here.</t>
        </r>
      </text>
    </comment>
    <comment ref="M32" authorId="2" shapeId="0">
      <text>
        <r>
          <rPr>
            <b/>
            <sz val="9"/>
            <color indexed="81"/>
            <rFont val="Tahoma"/>
            <family val="2"/>
          </rPr>
          <t>Nancy &amp; Ian Koenig:</t>
        </r>
        <r>
          <rPr>
            <sz val="9"/>
            <color indexed="81"/>
            <rFont val="Tahoma"/>
            <family val="2"/>
          </rPr>
          <t xml:space="preserve">
These indicate the column in the rule sheets that define whether a rule is included in the profile
</t>
        </r>
      </text>
    </comment>
    <comment ref="N32" authorId="3" shapeId="0">
      <text>
        <r>
          <rPr>
            <b/>
            <sz val="9"/>
            <color indexed="81"/>
            <rFont val="Tahoma"/>
            <family val="2"/>
          </rPr>
          <t>Ian Koenig:</t>
        </r>
        <r>
          <rPr>
            <sz val="9"/>
            <color indexed="81"/>
            <rFont val="Tahoma"/>
            <family val="2"/>
          </rPr>
          <t xml:space="preserve">
Perm ID for the profile, whichmust be aligned with GLitz</t>
        </r>
      </text>
    </comment>
  </commentList>
</comments>
</file>

<file path=xl/comments2.xml><?xml version="1.0" encoding="utf-8"?>
<comments xmlns="http://schemas.openxmlformats.org/spreadsheetml/2006/main">
  <authors>
    <author>Nancy &amp; Ian Koenig</author>
  </authors>
  <commentList>
    <comment ref="C3" authorId="0" shapeId="0">
      <text>
        <r>
          <rPr>
            <b/>
            <sz val="9"/>
            <color indexed="81"/>
            <rFont val="Tahoma"/>
            <family val="2"/>
          </rPr>
          <t>Ian Koenig:</t>
        </r>
        <r>
          <rPr>
            <sz val="9"/>
            <color indexed="81"/>
            <rFont val="Tahoma"/>
            <family val="2"/>
          </rPr>
          <t xml:space="preserve">
The column contains the processing rule:
1 = Range To Name
2 = Range to Range
3 = Range to Name (for Pre / Post)
4 = Ref to PermID
5 = Range to Name (for Complaince value)</t>
        </r>
      </text>
    </comment>
    <comment ref="E3" authorId="0" shapeId="0">
      <text>
        <r>
          <rPr>
            <b/>
            <sz val="9"/>
            <color indexed="81"/>
            <rFont val="Tahoma"/>
            <family val="2"/>
          </rPr>
          <t>Ian Koenig:</t>
        </r>
        <r>
          <rPr>
            <sz val="9"/>
            <color indexed="81"/>
            <rFont val="Tahoma"/>
            <family val="2"/>
          </rPr>
          <t xml:space="preserve">
The column contains the processing rule:
1 = Range To Name
2 = Range to Range
3 = Range to Name (for Pre / Post)
4 = Ref to PermID
5 = Range to Name (for Complaince value)</t>
        </r>
      </text>
    </comment>
  </commentList>
</comments>
</file>

<file path=xl/sharedStrings.xml><?xml version="1.0" encoding="utf-8"?>
<sst xmlns="http://schemas.openxmlformats.org/spreadsheetml/2006/main" count="4382" uniqueCount="1306">
  <si>
    <t>8.1.1</t>
  </si>
  <si>
    <t>8.1.2</t>
  </si>
  <si>
    <t>8.2.1</t>
  </si>
  <si>
    <t>7.1.1</t>
  </si>
  <si>
    <t>7.1.2</t>
  </si>
  <si>
    <t>7.1.3</t>
  </si>
  <si>
    <t>7.2.1</t>
  </si>
  <si>
    <t>8.2.2</t>
  </si>
  <si>
    <t>11.3.1</t>
  </si>
  <si>
    <t>10.2.4</t>
  </si>
  <si>
    <t>10.2.7</t>
  </si>
  <si>
    <t>9.1.1</t>
  </si>
  <si>
    <t>9.1.2</t>
  </si>
  <si>
    <t>9.2.1</t>
  </si>
  <si>
    <t>Maintainable</t>
  </si>
  <si>
    <t>5.1.1</t>
  </si>
  <si>
    <t>5.1.2</t>
  </si>
  <si>
    <t>5.2.1</t>
  </si>
  <si>
    <t>Transaction ID MUST be automatically assigned early in the request processing and passed through all service requests.</t>
  </si>
  <si>
    <t>5.2.2</t>
  </si>
  <si>
    <t>Exceptions</t>
  </si>
  <si>
    <t>Permanent Waivers</t>
  </si>
  <si>
    <t>Instructions for Domain Architect</t>
  </si>
  <si>
    <t>11.2.1</t>
  </si>
  <si>
    <t>Comply (Y/N/E)</t>
  </si>
  <si>
    <t>Explanation</t>
  </si>
  <si>
    <t>Review Date</t>
  </si>
  <si>
    <t xml:space="preserve"> Assessment</t>
  </si>
  <si>
    <t>By:</t>
  </si>
  <si>
    <t xml:space="preserve">The reference number to the Golden rule </t>
  </si>
  <si>
    <t>S</t>
  </si>
  <si>
    <t>EA Summary Comments</t>
  </si>
  <si>
    <t>1.5.2</t>
  </si>
  <si>
    <t>Score</t>
  </si>
  <si>
    <t>Summary Assessment</t>
  </si>
  <si>
    <t>Rule</t>
  </si>
  <si>
    <t>Explanation (if "no")</t>
  </si>
  <si>
    <t>Comply:</t>
  </si>
  <si>
    <t>1.2.1</t>
  </si>
  <si>
    <t>1.2.2</t>
  </si>
  <si>
    <t>1.2.3</t>
  </si>
  <si>
    <t>1.2.4</t>
  </si>
  <si>
    <t>1.4.1</t>
  </si>
  <si>
    <t>1.4.3</t>
  </si>
  <si>
    <t>1.5.1</t>
  </si>
  <si>
    <t>1.3.1</t>
  </si>
  <si>
    <t>3.2.1</t>
  </si>
  <si>
    <t>Yes</t>
  </si>
  <si>
    <t>N/A</t>
  </si>
  <si>
    <t>Comply (Y/N)</t>
  </si>
  <si>
    <t>Type</t>
  </si>
  <si>
    <t>Ref</t>
  </si>
  <si>
    <t>M</t>
  </si>
  <si>
    <t>1.1.1</t>
  </si>
  <si>
    <t>2.1.1</t>
  </si>
  <si>
    <t>3.1.1</t>
  </si>
  <si>
    <t>3.1.2</t>
  </si>
  <si>
    <t>1.1.2</t>
  </si>
  <si>
    <t>Explanation (if "No")</t>
  </si>
  <si>
    <t>Scorecard</t>
  </si>
  <si>
    <t>Revision:</t>
  </si>
  <si>
    <t>Created:</t>
  </si>
  <si>
    <t>Updated</t>
  </si>
  <si>
    <t>Type:</t>
  </si>
  <si>
    <r>
      <t>M</t>
    </r>
    <r>
      <rPr>
        <sz val="10"/>
        <rFont val="Arial"/>
        <family val="2"/>
      </rPr>
      <t xml:space="preserve"> is for MUST or MUST NOT rules </t>
    </r>
    <r>
      <rPr>
        <b/>
        <sz val="10"/>
        <rFont val="Arial"/>
        <family val="2"/>
      </rPr>
      <t>S</t>
    </r>
    <r>
      <rPr>
        <sz val="10"/>
        <rFont val="Arial"/>
        <family val="2"/>
      </rPr>
      <t xml:space="preserve"> is for SHOULD and SHOULD NOT rules</t>
    </r>
  </si>
  <si>
    <t>Ref:</t>
  </si>
  <si>
    <t>A short description of the rule.</t>
  </si>
  <si>
    <t>The compliance status for the rule.</t>
  </si>
  <si>
    <t>2.1.2</t>
  </si>
  <si>
    <t>2.1.3</t>
  </si>
  <si>
    <t>3.5.1</t>
  </si>
  <si>
    <t>2.1.5</t>
  </si>
  <si>
    <t>Compliant</t>
  </si>
  <si>
    <t>Global</t>
  </si>
  <si>
    <t>10.1.1</t>
  </si>
  <si>
    <t>10.1.2</t>
  </si>
  <si>
    <t>10.1.3</t>
  </si>
  <si>
    <t>10.1.4</t>
  </si>
  <si>
    <t>10.1.5</t>
  </si>
  <si>
    <t>10.1.6</t>
  </si>
  <si>
    <t>10.2.1</t>
  </si>
  <si>
    <t>10.2.2</t>
  </si>
  <si>
    <t>10.3.1</t>
  </si>
  <si>
    <t>10.3.2</t>
  </si>
  <si>
    <t>10.3.3</t>
  </si>
  <si>
    <t>10.3.4</t>
  </si>
  <si>
    <t>10.3.5</t>
  </si>
  <si>
    <t>10.3.6</t>
  </si>
  <si>
    <t>Simple</t>
  </si>
  <si>
    <t>11.1.2</t>
  </si>
  <si>
    <t>Secure</t>
  </si>
  <si>
    <t>Scalable</t>
  </si>
  <si>
    <t>Manageable</t>
  </si>
  <si>
    <t>Reliable</t>
  </si>
  <si>
    <t>10.1.7</t>
  </si>
  <si>
    <t>10.2.5</t>
  </si>
  <si>
    <t>6.1.1</t>
  </si>
  <si>
    <t>6.1.2</t>
  </si>
  <si>
    <t>6.2.1</t>
  </si>
  <si>
    <t>Data must not become code.</t>
  </si>
  <si>
    <t>6.5</t>
  </si>
  <si>
    <t>6.8</t>
  </si>
  <si>
    <t>6.9</t>
  </si>
  <si>
    <t>6.4.1</t>
  </si>
  <si>
    <t>6.4.2</t>
  </si>
  <si>
    <t>6.6</t>
  </si>
  <si>
    <t>6.6.1</t>
  </si>
  <si>
    <t>6.7</t>
  </si>
  <si>
    <t>6.9.1</t>
  </si>
  <si>
    <t>2.1.8</t>
  </si>
  <si>
    <t>5.1.4</t>
  </si>
  <si>
    <t>11.2.3</t>
  </si>
  <si>
    <t>Don Steiner</t>
  </si>
  <si>
    <t>Schemas MUST be documented by references in comments to the documentation or embedded as comments</t>
  </si>
  <si>
    <t>Version</t>
  </si>
  <si>
    <t>Date</t>
  </si>
  <si>
    <t>Comments</t>
  </si>
  <si>
    <t>Author</t>
  </si>
  <si>
    <t>Official first version for general consumption</t>
  </si>
  <si>
    <t>Entire Enterprise Architecture Team</t>
  </si>
  <si>
    <t>Jeff Seitter</t>
  </si>
  <si>
    <t>Temporary workaround for failure of validation rules in Modular worksheet to accept the =ValidValues data validation source for scoring of worksheet items by the domain architect. Excel treated the setting as invalid. Was forced to put actual list of values in setting tab's Source box itself for data validation rather than the named list (=ValidValues) used by all the other worksheets. Cause of the problem is unknown, but looks like a bug in Excel because there did not appear to be any differences between the way the validation was defined in Modular versus the other worksheets</t>
  </si>
  <si>
    <t>(1) Changes to Scorecard page to include description of changes since last review and provide pattern to which the system conforms -- like product application, content master service, content distribution service, …
(2) Spell check the entire document (numerous misspellings throughout many worksheets)</t>
  </si>
  <si>
    <t>Row 8.1.1 was changed to permit selection of a compliance value (YES, NO, WAIVER, N/A) -- in essence, the data validation rule was not defined properly for that cell in prior versions.</t>
  </si>
  <si>
    <t>Hidden row 1.4.3 in Masters of Data discussing names for columns was deleted (as per advice from Don Bergeron) and the remaining rows in section 1.4 were renumbered. New logical version number of 1.6 recorded in instructions worksheet.</t>
  </si>
  <si>
    <t>Correct long-standing problem in which the validation list for YES, NO, WAIVER, N/A in the Modular spreadsheet was unable to use the same named range list as every other worksheet. Problem derived from worksheet-specific scoped version of the same named range as the official named range but which was located on Bruce Maxfield's D: drive. Somehow, in copying the Modular worksheet from Bruce's version of the spreadsheet the version of the named range from his D: drive got picked up instead of being mapped to the shared version of the named list like everyone else's worksheet. Really odd that Excel would allow 2 named range with the same name.</t>
  </si>
  <si>
    <t>Dean Myers</t>
  </si>
  <si>
    <t>Bill Kilgallon</t>
  </si>
  <si>
    <t>Don Bergeron</t>
  </si>
  <si>
    <t>Bruce Maxfield</t>
  </si>
  <si>
    <r>
      <rPr>
        <b/>
        <u/>
        <sz val="10"/>
        <rFont val="Arial"/>
        <family val="2"/>
      </rPr>
      <t>In Modular</t>
    </r>
    <r>
      <rPr>
        <sz val="10"/>
        <rFont val="Arial"/>
        <family val="2"/>
      </rPr>
      <t xml:space="preserve">
• Rule 2.1.2 changed as follows: Dropped reference in 2.1.2 to LexisNexis URL Guidelines document based on agreement that these guidelines only apply to sites requiring Search Engine Optimization (SEO).  Replaced it with a reference to the REST Base URI standard and incorporated requires to register resources in the enterprise repository.
• Revised rule 2.3 to refine the scope of the rule to MAE interfaces and the option to make use of other styles within the implementation of an MAE.</t>
    </r>
  </si>
  <si>
    <r>
      <rPr>
        <b/>
        <u/>
        <sz val="10"/>
        <rFont val="Arial"/>
        <family val="2"/>
      </rPr>
      <t>Changes to all worksheets</t>
    </r>
    <r>
      <rPr>
        <sz val="10"/>
        <rFont val="Arial"/>
        <family val="2"/>
      </rPr>
      <t xml:space="preserve">
• Changes were made to ensure consistent print behaviors, including:
   o Consistent format for page headers and footers
   o Ensure print area set properly
   o Set page layout to landscape
   o Force printing to one-page in width so columns for a given row are never spread across multiple print pages
</t>
    </r>
  </si>
  <si>
    <t>Revised 2.19.* to reflect changes to the Golden Rules concerning use of previously published SEO standards that no longer apply to REST APIs.</t>
  </si>
  <si>
    <t>Replace previous version 3.1 with one that does not appear to complain of invalid formatting of the spreadsheet by Microsoft Excel</t>
  </si>
  <si>
    <t xml:space="preserve">Forgot to update revision number in scorecard Instructions worksheet when posting previous update
</t>
  </si>
  <si>
    <t xml:space="preserve">Added a rule to Simple (3.3.3)
</t>
  </si>
  <si>
    <t xml:space="preserve">Replace description of Reliable Principle with accurate description (in prior version this description was a copy of the description of Manageable Principle).
</t>
  </si>
  <si>
    <t xml:space="preserve">I found a few typos.  Just fixing them.
</t>
  </si>
  <si>
    <r>
      <rPr>
        <b/>
        <u/>
        <sz val="10"/>
        <rFont val="Arial"/>
        <family val="2"/>
      </rPr>
      <t xml:space="preserve">In Scalable, Manageable and Reliable
</t>
    </r>
    <r>
      <rPr>
        <sz val="10"/>
        <rFont val="Arial"/>
        <family val="2"/>
      </rPr>
      <t xml:space="preserve">
Minor capitalization consistency changes (for example, "should" changed to "SHOULD" and "must" to "MUST")
</t>
    </r>
  </si>
  <si>
    <r>
      <rPr>
        <b/>
        <u/>
        <sz val="10"/>
        <rFont val="Arial"/>
        <family val="2"/>
      </rPr>
      <t xml:space="preserve">In Security
</t>
    </r>
    <r>
      <rPr>
        <sz val="10"/>
        <rFont val="Arial"/>
        <family val="2"/>
      </rPr>
      <t xml:space="preserve">
Normalized the questions so that all “correct” answers in the security section are affirmative instead of negative.
</t>
    </r>
  </si>
  <si>
    <t>Fix inconsistencies discovered in version 3.0, including the following:
(1) Items 1.12.1.6 - 1.12.1.9 were marked as SHOULD but employed "MUST language. These were changed to be marked as MUST.
(2) Item 1.12.5.11 was marked as SHOULD but employed "MUST language. This was changed to be marked as MUST.
(3) Items 2.7.1.6 - 2.7.1.8 were marked as SHOULD but employed "MUST language. These were changed to be marked as MUST.
(4) Two versions of items 2.7.9 - 2.7.12 were found in the Modular section, one immediately following the other. The second instance of each of these rows was deleted.
(5) A comment was found on row 2.7.1.14 that should not have been there. It was removed.</t>
  </si>
  <si>
    <t>Tab added to capture debt as part on the scoring process TO-BE-REVIEWED</t>
  </si>
  <si>
    <t>Paul Scacco</t>
  </si>
  <si>
    <t xml:space="preserve"> </t>
  </si>
  <si>
    <t>x</t>
  </si>
  <si>
    <t>(1) Added new columns to Principle- based worksheets to permit classification of scorecard items by type of review being done (asset type and stage in development of that asset)
(2) Added new Custom Views to support viewing the pricniple-based worksheets based on the type of review being done.</t>
  </si>
  <si>
    <t>Don P. Steiner</t>
  </si>
  <si>
    <t>Revisions to Simple and Maintainable Principles in alignment with Governance V2</t>
  </si>
  <si>
    <t>10.1.8</t>
  </si>
  <si>
    <t>10.1.9</t>
  </si>
  <si>
    <t>10.2.9</t>
  </si>
  <si>
    <t>10.5.1</t>
  </si>
  <si>
    <t>(1) Replaced review type columns and corresponding Custom Views for "Shema" and "Data" with "Mastered Data" and "Purposed-Copy Data" as per recommendations from Jayne Dutra and Don Bergeron.
(2) Applied changes to Global principle scorecard entries to be consistent with Global principle golden rules for governance V2 as follows:
(2.1) Overhaul of Global principle numeric rules handling, mainly around time and date handling
(2.2) Change Global Principle text handling to describe circumstances in which normal form C is required plus added new rule around 3rd party language translations
(2.3) Added new rule with many sub-rules around compliance with industry accessibility standards</t>
  </si>
  <si>
    <t>Added checkboxes for appropriate reviews in security section</t>
  </si>
  <si>
    <t xml:space="preserve">(1) Improvements to accessibility scorecard entries in the Global principle's worksheet based on input from Chad Braun
(2) Improvements to the Scalable principle's worksheet to reflect the existince of a Scalability Model and Plan document template and other smaller improvements, then mapping of this worksheet's scorecard items to the various review types
(3) Mapping of the Manageable principle's scorecard entries to the various review types
(4) Improvements to the Reliable principle's worksheet to refect the existence of an SLA spreadsheet template and other clarifications to wording, then mapping of this worksheet's scorecard items to the various review types </t>
  </si>
  <si>
    <t>Get the scorecard version number to match that exposed by SharePoint. Stupid error on my part prevented this from being done when adding version 4.6, which I accidentally added as version 4.7.</t>
  </si>
  <si>
    <t>Jayne Dutra &amp; Don Bergeron</t>
  </si>
  <si>
    <t>Improvements to language in Global sub-rule 10.2.7 to provide details of date with optional time formats to be accepted by services</t>
  </si>
  <si>
    <t xml:space="preserve">Modifications to the Masters of Data Scorecard to simplify items and mapping to the main data categories of Master Data Sets and Purposed Copy Data Sets. </t>
  </si>
  <si>
    <t>4.8 - 4.11</t>
  </si>
  <si>
    <t>4.12 - 4.13</t>
  </si>
  <si>
    <t>4.15</t>
  </si>
  <si>
    <t>4.14</t>
  </si>
  <si>
    <t>Changes to Standard Principle scorecard entries including changes recommended by Dean Myers</t>
  </si>
  <si>
    <t>Map scorecard entry 10.1.1 to Mastered and Purposed-Copy Data review types (use of Unicode for persisted data)</t>
  </si>
  <si>
    <t>4.16</t>
  </si>
  <si>
    <t>4.17</t>
  </si>
  <si>
    <t>Updated inclusion/exclusion criteria for "compliant" principle</t>
  </si>
  <si>
    <t>Map scorecard-item header on scorecard entries for Global to appropriate views by review type</t>
  </si>
  <si>
    <t>3.1.3</t>
  </si>
  <si>
    <t>Jayne Dutra</t>
  </si>
  <si>
    <t>4.24</t>
  </si>
  <si>
    <t xml:space="preserve">Revise MOD scorecard items to align with Golden Rules per feedback from Architecture Council; remove MOD #10. </t>
  </si>
  <si>
    <t>Instructions for Enterprise Architect</t>
  </si>
  <si>
    <r>
      <t xml:space="preserve">Complete the </t>
    </r>
    <r>
      <rPr>
        <b/>
        <sz val="10"/>
        <rFont val="Arial"/>
        <family val="2"/>
      </rPr>
      <t>Scorecard</t>
    </r>
    <r>
      <rPr>
        <sz val="10"/>
        <rFont val="Arial"/>
        <family val="2"/>
      </rPr>
      <t xml:space="preserve"> worksheet as follows:</t>
    </r>
  </si>
  <si>
    <t>4.27</t>
  </si>
  <si>
    <t>(1) Added instructions for Enterprise Architects on the Instructions page
(2) Fixed a number of broken references on Summary page to the individual principle pages that resulted from rework of those principles' line items
(3) Changed all the rollup cells to align with recent EA Issues meeting decisions that the values permitted should be G (Green), Y (Yellow), R (Red), or N/A (Not Applicable) and that these rollup cells' fill colors should correspond to the color value chosen for that rollup (green, yellow, red -- or white for N/A)
(4) Eliminated the Temporary Waivers section of the Scorecard worksheet, since the EA Issues meeting on scoreccard summarization concluded that there should be only permanent waivers.</t>
  </si>
  <si>
    <t>5.3</t>
  </si>
  <si>
    <t>Roger Cass</t>
  </si>
  <si>
    <t>5.0</t>
  </si>
  <si>
    <t>Promoted version 4.1 to version 4.30, then added Reliability rule 9.4.</t>
  </si>
  <si>
    <t>5.1</t>
  </si>
  <si>
    <t>Restored version 4.29 as version 5.1.</t>
  </si>
  <si>
    <t>5.2</t>
  </si>
  <si>
    <t>Corrected version number to 5.2 on Instructions page.</t>
  </si>
  <si>
    <t>Re-restored version 4.29 as version 5.3 as the first attempt did not work as planned.</t>
  </si>
  <si>
    <t>5.4</t>
  </si>
  <si>
    <t>Paul Scacco, Roger Cass</t>
  </si>
  <si>
    <t>Added Reliable rule 9.4 for high availability and disaster recovery.</t>
  </si>
  <si>
    <t>5.5</t>
  </si>
  <si>
    <t>7.2.2</t>
  </si>
  <si>
    <t>7.2.3</t>
  </si>
  <si>
    <t>Added Scalable sub-rules for 7.1, 7.2, and 7.3</t>
  </si>
  <si>
    <t>5.6</t>
  </si>
  <si>
    <t>Added minor changes in Reliable.</t>
  </si>
  <si>
    <t>External service interfaces MUST NOT allow distributed transactions across interface boundaries.</t>
  </si>
  <si>
    <t>2.2.1</t>
  </si>
  <si>
    <t>2.2.2</t>
  </si>
  <si>
    <t>2.2.4</t>
  </si>
  <si>
    <t>2.2.9</t>
  </si>
  <si>
    <t>2.2.10</t>
  </si>
  <si>
    <t>2.2.11</t>
  </si>
  <si>
    <t>2.3.1</t>
  </si>
  <si>
    <t>2.4.1</t>
  </si>
  <si>
    <t>2.4.5</t>
  </si>
  <si>
    <t>5.9</t>
  </si>
  <si>
    <t>5.7</t>
  </si>
  <si>
    <t>5.8</t>
  </si>
  <si>
    <t>Added minor changes.</t>
  </si>
  <si>
    <t>Major changes to Reliable to reflect the GR document.</t>
  </si>
  <si>
    <t>5.10</t>
  </si>
  <si>
    <t>Made 7.3.5 be 7.3.1, which moved the others down.  Reworded 7.1.4, 7.2.6, and 7.2.7.</t>
  </si>
  <si>
    <t>5.11</t>
  </si>
  <si>
    <t>Added profiles to 4</t>
  </si>
  <si>
    <t>6.8.1</t>
  </si>
  <si>
    <t>5.4.1</t>
  </si>
  <si>
    <t>Services MUST be deployed so that incompatible versions of their interfaces don't interfere with one another.</t>
  </si>
  <si>
    <t>Services MUST be deployed so that compatible versions of their interfaces replace one another.</t>
  </si>
  <si>
    <t>5.12</t>
  </si>
  <si>
    <t>removed deleted score entry in Simple</t>
  </si>
  <si>
    <t>5.13</t>
  </si>
  <si>
    <t>Simplified Scalable, Manageable, and Reliable to match the GR documents.</t>
  </si>
  <si>
    <t>8.3.1</t>
  </si>
  <si>
    <t>8.3.2</t>
  </si>
  <si>
    <t>8.3.3</t>
  </si>
  <si>
    <t>8.3.4</t>
  </si>
  <si>
    <t>5.14</t>
  </si>
  <si>
    <t>Made changes to MOD worksheet for consistency with GR changes. Removed references to Modularity tab, refined statements about what data must comply with rules.</t>
  </si>
  <si>
    <t>Jayne Dutra/Don Bergeron</t>
  </si>
  <si>
    <t>5.15</t>
  </si>
  <si>
    <t>(1) Updates to scorecard items for Global principle to reflect feedback from all-day onsite meeting of November 10, 2010.
(2) Add conditional formatting to rows filled out by Domain Architects to make "Yes" answers have a green cell fill color, "No" answers have a red cell fill color, and "Waivers" have a yellow cell fill color.
(3) Make Summary sheet match the worksheets to reflect new and restructured golden rules.</t>
  </si>
  <si>
    <t>5.16</t>
  </si>
  <si>
    <t>(1) Provide drop-down selection for line items for Standards new golden rule that somehow lacked them (missing association with the proper Data Validation rule)
(2) Correct a few types and stray settings</t>
  </si>
  <si>
    <t>5.17</t>
  </si>
  <si>
    <t xml:space="preserve">(1) Updated Debt Instructions to reflect debt calculations.                                 (2) Change debt tab feature to automatically color field and a drop down feature to give the DA a choice of either Golden Rule or Infrasture as a debt reason.                        </t>
  </si>
  <si>
    <t>5.30</t>
  </si>
  <si>
    <t xml:space="preserve">Updated custom views to reflect recommendations from all-day onsite review meeting of December 10, 2010.                        </t>
  </si>
  <si>
    <t>5.31</t>
  </si>
  <si>
    <t>Updated profile assignments for Scalable, Manageable, and Reliable.</t>
  </si>
  <si>
    <t>5.32</t>
  </si>
  <si>
    <t>Add instructions on the Insteructions tab for Domain Architects dealing with an asset that has multiple relevant Custom Views.</t>
  </si>
  <si>
    <t>5.34</t>
  </si>
  <si>
    <t>Update Simple wording changes per review on 1/14 (3.4.1, 3.5.1, 3.6.1)</t>
  </si>
  <si>
    <t>5.1.3</t>
  </si>
  <si>
    <t>All interactions with databases MUST be via parameterized queries.</t>
  </si>
  <si>
    <t>All interactions with the operating system MUST be via parameterized calls.</t>
  </si>
  <si>
    <t>All transactions involving sensitive data MUST generate an auditable record.</t>
  </si>
  <si>
    <t>5.35</t>
  </si>
  <si>
    <t>Reviewed and updated Profile assignments for all Principles (excecpt MoD)</t>
  </si>
  <si>
    <t>5.36</t>
  </si>
  <si>
    <t>Updated 11.1.2 wording changes per review on 1/21</t>
  </si>
  <si>
    <t>5.37</t>
  </si>
  <si>
    <t>Updated 7.1.1 wording per review.
Added hyper links on Principle 9.
Moved Change History tab to be last after the Debt Capture tab.</t>
  </si>
  <si>
    <t>5.38</t>
  </si>
  <si>
    <t>Update the Scorecard tab to add the actual list of values for the Pattern field</t>
  </si>
  <si>
    <t>6.3.1</t>
  </si>
  <si>
    <t>6.5.1</t>
  </si>
  <si>
    <t>6.7.1</t>
  </si>
  <si>
    <t>Temporary Waivers</t>
  </si>
  <si>
    <t>5.40</t>
  </si>
  <si>
    <t>(1) Update Instructions page with new colors and selections for DA and EA inputs on Principle worksheets 
(2) Adjust conditional formatting to manifest the desired colors for each input value on the various input cells on the Principle worksheets 
(3) Change the numbering of items on Security Principle worksheet that were subordinate to a giolden rule but lacked a third component to their item number so the macro Dean is developing will work.</t>
  </si>
  <si>
    <t>5.41</t>
  </si>
  <si>
    <t>Change all conditional formatting to give N/A scores a grey fill color.</t>
  </si>
  <si>
    <t>Modular</t>
  </si>
  <si>
    <t>min</t>
  </si>
  <si>
    <t>max</t>
  </si>
  <si>
    <t>Principle</t>
  </si>
  <si>
    <t>Comment</t>
  </si>
  <si>
    <t>5.42</t>
  </si>
  <si>
    <t>(1) Overhaul debt worksheet to reflect maximum and minimum debt estimates, provide summaries in top row by principle, etc.
(2) Replicate Principle-specific scores and debt information to Scorecard worksheet</t>
  </si>
  <si>
    <t>5.43</t>
  </si>
  <si>
    <t>(1) Define conditional formatting rules on Scorecard worksheet to make principle scores (replicated from the principle-specific worksheets) appear with the appropriate fill and font colors
(2) Hide the summary row (Row 2) on the Debt tab so it does not add to the confusion for the Domain Architects who have to fill in the debt tab values.</t>
  </si>
  <si>
    <t>Exception Count</t>
  </si>
  <si>
    <t>Permanent Waiver Count</t>
  </si>
  <si>
    <t>Temporary Waiver Count</t>
  </si>
  <si>
    <t>5.44</t>
  </si>
  <si>
    <t>Inserted new Macros into score card to generate Debt Summary Section</t>
  </si>
  <si>
    <t>5.45</t>
  </si>
  <si>
    <t>Updates to Score Card and Macros based on review from 6-Apr-2011.  Includes updates to Instruction tab, Scorecard tab (for debt capture and removal of Issues section), and Debt Capture.</t>
  </si>
  <si>
    <t>5.46</t>
  </si>
  <si>
    <t>5.47</t>
  </si>
  <si>
    <t>(1) Partial fix for circular algorithm for debt Gap calculation -- the rest of the fix must be put into the macro by Dean Myers
(2) Improved instructions regarding inserting new rows into the Debt Capture tab
(3) Revise print area for virtually all tabs to ensure that all relevant rows will be capture in printouts
(4) Ensure that the Explanation fields in all Principle-specific tabs align their text to the top line of the cell, not the bottom as many do in the prior versions
(5) Hide the Debt Capture tab summary row (row 2)</t>
  </si>
  <si>
    <t>6.0</t>
  </si>
  <si>
    <t>5.48</t>
  </si>
  <si>
    <t>(1) Resolve circular references warnings problems resulting from incorrect cell contents in ScoreCard tab’s formulas for calculating the Gap between architecture debt and alread-allocated funding to address such debt.
(2) Correct problem in which the Score column (Column H) the cells for principles 3 through 11 on the ScoreCard tab have the formula showing instead of the results of the formula.
(3) Clarify instructions regarding use of the macro.</t>
  </si>
  <si>
    <t>(1) Update the change history to describe fixes made by Dean Myers in the 5.48 release.
(2) Update the version number in the Instructions tab to indicate that this is now major version 6.0.
(3) Publish as a new major version.</t>
  </si>
  <si>
    <t xml:space="preserve">(1) Updated the Standards principle to reflect the right rules exposed during pre and post scoring.                                                                     (2) Removed the Update Summary macro from the scorecard as it was not needed and causing problems.                                                           (3) Corrected debt totals issues within the debt tab </t>
  </si>
  <si>
    <t>6.1 - 6.4</t>
  </si>
  <si>
    <t>Adding Scorecard macro.  Making fixes to AR Debt Summary on scorecard tab</t>
  </si>
  <si>
    <t>7.0</t>
  </si>
  <si>
    <t>Adding conditional formatting to the Scorecard tab debt summary cells that reflect the overall score for each principle.</t>
  </si>
  <si>
    <t>7.1</t>
  </si>
  <si>
    <t>Change scorecard to align with golden rule sub-rules for Modular principle</t>
  </si>
  <si>
    <t>8.0</t>
  </si>
  <si>
    <t>(1) Alter change history to reflect changes made by Bruce M in making version 7.1 (he forgot to update the change history and also forgot to upddate the version information on the Instructions tab).
(2) Update change history and instructions tab to reflect publication of new major version 8.0. Note that with the move to the new GAR SharePoint site, the version numbering internal to this document no longer matches that held by SharePoint. So it goes.</t>
  </si>
  <si>
    <t>8.1</t>
  </si>
  <si>
    <t>Ian Koenig/Paul Scacco</t>
  </si>
  <si>
    <t xml:space="preserve">(1) Changes were made to address the following issues:                                * Language cleanup.                                                                                                      * Remove references to LN that don’t belong
* Replace the terms “application”, “service” and “enterprise service” with “Asset” where appropriate
* Change Web Part rule from MUST to MAY* 
</t>
  </si>
  <si>
    <t>8.2</t>
  </si>
  <si>
    <t>Add links for SLP, ADD, SDP, Turnover Docs, and Build and Deployment Process.</t>
  </si>
  <si>
    <t>3.1.5</t>
  </si>
  <si>
    <t>8.3</t>
  </si>
  <si>
    <t>Added 11.4.4 &amp; 3.1.4</t>
  </si>
  <si>
    <t>8.4</t>
  </si>
  <si>
    <t>Mapped questions at start of global to appropriate custom views</t>
  </si>
  <si>
    <t>9.5.2</t>
  </si>
  <si>
    <t>9.5.8</t>
  </si>
  <si>
    <t>8.5</t>
  </si>
  <si>
    <t>Added rules 9.5.x to cover performance, availability, and recoverability testing.  Repaired some mistakes on the profile assignments for 8.x.  Minor wording changes for several other rules on 7.x, 8.x and 9.x.  Removed rule 9.1.1, distributing it into what was 9.1.2 and 9.1.3.</t>
  </si>
  <si>
    <t xml:space="preserve">Provide brief description of the asset in this field </t>
  </si>
  <si>
    <t>What Changed since last review ?</t>
  </si>
  <si>
    <t>Content Distribution Service</t>
  </si>
  <si>
    <t>Fabrication Master</t>
  </si>
  <si>
    <t>Transactional Master</t>
  </si>
  <si>
    <t>Business Service</t>
  </si>
  <si>
    <t>8.6</t>
  </si>
  <si>
    <t>Scorecard formating changes and links updated still needs further updates for sections with no documents Principals 1, 3, 9</t>
  </si>
  <si>
    <t>8.7</t>
  </si>
  <si>
    <t>Fixing additional broken links in the scorecard that refer to other documents</t>
  </si>
  <si>
    <t>8.8</t>
  </si>
  <si>
    <t>Modified wording of 9.x rules per review in EA meeting.  Added link to new Asset Analysis and Test Results worksheet.</t>
  </si>
  <si>
    <t>8.9</t>
  </si>
  <si>
    <t>Fixed messed up links on the ScoreCard tab introduced earlier.</t>
  </si>
  <si>
    <t>8.10</t>
  </si>
  <si>
    <t>(1) Remove mapping of 4.1 header rows from Application Pre-Implementation view because no subordinate rows were so mapped
(2) Make font in all summary EA comments at top of each Principle-specific tab black font as it should be -- not green font (hard to read against green fill color background)</t>
  </si>
  <si>
    <t xml:space="preserve">State: </t>
  </si>
  <si>
    <t>Don Steiner
Paul Scacco</t>
  </si>
  <si>
    <t>9.0</t>
  </si>
  <si>
    <t>(1) Added to the Scorecard worksheet two new fields for the capture of the current state of the asset being reviewed (Pre or Post Implementation)
(2) Publish as new major version</t>
  </si>
  <si>
    <t>9.1</t>
  </si>
  <si>
    <t xml:space="preserve">Removed duplicate entry and fixed the numbering of the different sections to make sure they were sequential. </t>
  </si>
  <si>
    <t>Minor correction to the 2.3.n sequence numbering.</t>
  </si>
  <si>
    <t>9.2</t>
  </si>
  <si>
    <t>9.3</t>
  </si>
  <si>
    <t>Dean Myers
Don Steiner</t>
  </si>
  <si>
    <t>(1) Change monthly M&amp;R debt handling so instead of entering a monthly dollar figure, the DA specifies min and max staff month values, and dollars are calculated automatically. 
(2) Change Scorecard row for monthly M&amp;R to provide min and max estimates, and show max monthly M&amp;R debt in row 6</t>
  </si>
  <si>
    <t>9.4</t>
  </si>
  <si>
    <t>Fix Print Area and scaling on all worksheets for reasonable print behaviors (especially to include all fixed content that should print).</t>
  </si>
  <si>
    <t>10.0</t>
  </si>
  <si>
    <t>Publish new major version 10.0 (what the GAR SharePoint will call version 8.0). Things fixed over the prior major version include the following:
(1) Restructure the top of the Scorecard tab to bring the most critical summary information to the top few lines and allow selection of custom view profiles from a pick list rather than typing the names of each relevant profile manually
(2) Fix all hypertext links to external documents and/or websites
(3) Change monthly M&amp;R debt estimation to work like the rest of the debt items (minimum and maximum provided as staff months, with dollar figures calculated algorithmically)
(4) Verbiage cleanup in a few places
(5) Fix Print Area on all worksheets for more reasonable default print behaviors</t>
  </si>
  <si>
    <t>10.1</t>
  </si>
  <si>
    <t>Fix Print Area on Global worksheets to include the Debt Reference number column (which had been accidentally omitted from the default print area).</t>
  </si>
  <si>
    <t>Reference</t>
  </si>
  <si>
    <t>URL</t>
  </si>
  <si>
    <t>Link</t>
  </si>
  <si>
    <t>10 - Global</t>
  </si>
  <si>
    <t>References</t>
  </si>
  <si>
    <t>Document or Web Page Reference</t>
  </si>
  <si>
    <t>10.2</t>
  </si>
  <si>
    <t>2a</t>
  </si>
  <si>
    <t>2c</t>
  </si>
  <si>
    <t>Debt (Effort)</t>
  </si>
  <si>
    <t>5c</t>
  </si>
  <si>
    <t>9c</t>
  </si>
  <si>
    <t>10a</t>
  </si>
  <si>
    <t>10b</t>
  </si>
  <si>
    <t>10c</t>
  </si>
  <si>
    <t>9d</t>
  </si>
  <si>
    <t>Mobile Application</t>
  </si>
  <si>
    <r>
      <rPr>
        <b/>
        <sz val="10"/>
        <rFont val="Arial"/>
        <family val="2"/>
      </rPr>
      <t>(1) Major changes to debt handling</t>
    </r>
    <r>
      <rPr>
        <sz val="10"/>
        <rFont val="Arial"/>
        <family val="2"/>
      </rPr>
      <t xml:space="preserve">
-- (1a) Change debt handing to be staff month based,not money-based (hide money columns on debt capture tab, change format of rows that are staff months instead of money, change calculated sums by principle to be based on staff months, etc.)
-- (1b) Replace Replacement Costs and User Migration Costs with a single Decommissioning Cost, both on Debt Tab and Scorecard
-- (1c) Separate sums for Tactical Spend and Decommissioning costs on Scorecard
</t>
    </r>
    <r>
      <rPr>
        <b/>
        <sz val="10"/>
        <rFont val="Arial"/>
        <family val="2"/>
      </rPr>
      <t>(2) Change handing of references to external documents or web pages</t>
    </r>
    <r>
      <rPr>
        <sz val="10"/>
        <rFont val="Arial"/>
        <family val="2"/>
      </rPr>
      <t xml:space="preserve">
-- (2a) Move list of references to a new "References" tab
-- (2b) Change references in cells so instead of hyperlinking directly to the target documents/web page, they contain a reference identifier that tells the reader which row in the References tab describes the reference in question.
</t>
    </r>
    <r>
      <rPr>
        <b/>
        <sz val="10"/>
        <rFont val="Arial"/>
        <family val="2"/>
      </rPr>
      <t xml:space="preserve">(3) Remove LexisNexis, Reed Elsevier and other organizational names from the text of the scorecard tokeep it more generic
(4) Make profile (Custom View) changes
</t>
    </r>
    <r>
      <rPr>
        <sz val="10"/>
        <rFont val="Arial"/>
        <family val="2"/>
      </rPr>
      <t xml:space="preserve">-- (4a) Remove the Mastered Data custom view profile [and instead map its assigned scorecard items to the other profiles that are identified as mastering data
-- (4b) Add a new profile for Mobile applications </t>
    </r>
  </si>
  <si>
    <t>10.3</t>
  </si>
  <si>
    <t>Correct version number in change control history for prior version (10.2) which appeared erroneously in this change control history as version 10.1).</t>
  </si>
  <si>
    <t>10.4</t>
  </si>
  <si>
    <t>Updated the simple principle (3.X) for the mobile "views" (i.e. Filled out columns Z and AA on that tab)</t>
  </si>
  <si>
    <t>10.5</t>
  </si>
  <si>
    <t>Updated Scalable, Reliable, and Manageable to add the proper rules to the Mobile App profiles.</t>
  </si>
  <si>
    <t>10.6</t>
  </si>
  <si>
    <t>Applied changes to Debt Capture to deal only in staff months, not money. Apparently this part of the change that was supposed to be in version 10.2 was somehow omitted in the version updated to SharePoint in 10.2, and only just discovered today on Feb 20.</t>
  </si>
  <si>
    <t>10.7</t>
  </si>
  <si>
    <t>Updated Modular principle tab to add the proper rules to the Mobile App profiles.</t>
  </si>
  <si>
    <t>10.8</t>
  </si>
  <si>
    <t>Replace references tab contents due to accidental hose-up of links a few version changes ago to point to a local file system</t>
  </si>
  <si>
    <t>10.9</t>
  </si>
  <si>
    <t>Try once more to replace references tab contents due to accidental hose-up of links a few version changes ago to point to a local file system. The version whose references tab I used to update was not correct on the last try.</t>
  </si>
  <si>
    <t>10.10</t>
  </si>
  <si>
    <t xml:space="preserve">Refactored the scorecard for the mobile profile for the standards principle. A rule was added in the Standards principle for Web Optimization with a link to document detailing best practices. SLP &amp; ADD references have been taken out the Standards rules. </t>
  </si>
  <si>
    <t>6.11</t>
  </si>
  <si>
    <t>6.11.1</t>
  </si>
  <si>
    <t>10.11</t>
  </si>
  <si>
    <t>Secure tab:  Moved and reworded for clarity requirement that systems use existing authentication and credential management systems.  Added two new scored items designed to minimize introductions of security defects in source code.</t>
  </si>
  <si>
    <t>10.12</t>
  </si>
  <si>
    <t>Secure tab:  Fixed a cut and paste duplication in the 6.7 and 6.8 sub descriptions.</t>
  </si>
  <si>
    <t>10.13</t>
  </si>
  <si>
    <t>Scalable tab: adjusted the rule descriptions to match the Golden Rules document.</t>
  </si>
  <si>
    <t>10.14</t>
  </si>
  <si>
    <t>Masters of Data changed to map its items to the appropriate custom views that indicate the asset is a master.</t>
  </si>
  <si>
    <t>10.15</t>
  </si>
  <si>
    <t>10.16</t>
  </si>
  <si>
    <t>Complete above changes</t>
  </si>
  <si>
    <t>(1) Global tab: Change language to align with golden rules. Specifically, "asset" was replaced with "application" or "service" or both as needed.
(2) Debt Capture tab: Restore the hiding of money-related columns in debt capture that was accidentally lost in version 10.10.</t>
  </si>
  <si>
    <t>11.0</t>
  </si>
  <si>
    <t>(1) Cleanup of Print Areas across the various tabs
(2) Add new entries to the Summary tab that had been added to the individual principle-specific tabs
(3) Debt Capture tab: Restore the hiding of money-related columns in debt capture across all of the Custom Views
(4) Publish as new major version</t>
  </si>
  <si>
    <t>6.12</t>
  </si>
  <si>
    <t>6.12.1</t>
  </si>
  <si>
    <t>11.1</t>
  </si>
  <si>
    <t>Added new security rule (6.12.1)</t>
  </si>
  <si>
    <t>11.2</t>
  </si>
  <si>
    <t>Minor revision</t>
  </si>
  <si>
    <t>11.3</t>
  </si>
  <si>
    <t>Broadened new security rule (6.12.1) slightly</t>
  </si>
  <si>
    <t>Low</t>
  </si>
  <si>
    <t>Medium</t>
  </si>
  <si>
    <t>High</t>
  </si>
  <si>
    <t>Actions</t>
  </si>
  <si>
    <t>12.0</t>
  </si>
  <si>
    <t xml:space="preserve">Added Business Risk Capture to the scorecard tab. </t>
  </si>
  <si>
    <t>12.1</t>
  </si>
  <si>
    <t xml:space="preserve">Fixed issues with CDS post profile in Standards tab and Infrasture debt totals. Moving the scorecard to Excel 2010 due to issues in functionality going forward. </t>
  </si>
  <si>
    <t>12.2</t>
  </si>
  <si>
    <t>Added custom views for Mastered Data and Purposed Copy Data</t>
  </si>
  <si>
    <t>13.0</t>
  </si>
  <si>
    <t xml:space="preserve">Safe </t>
  </si>
  <si>
    <t>Objective</t>
  </si>
  <si>
    <t xml:space="preserve">A service whose aim is not the mastering of content or providing search and retrieval access to content mastered elsewhere, but rather to provide other types of services. Quite often, this type of service will mine, use, or work on content that it does not own. </t>
  </si>
  <si>
    <t>Pre</t>
  </si>
  <si>
    <t>Post</t>
  </si>
  <si>
    <t>Mobile App</t>
  </si>
  <si>
    <t>Risk Level</t>
  </si>
  <si>
    <t>I</t>
  </si>
  <si>
    <t>K</t>
  </si>
  <si>
    <t>Q</t>
  </si>
  <si>
    <t>O</t>
  </si>
  <si>
    <t>U</t>
  </si>
  <si>
    <t xml:space="preserve"> Scorecard Profiles (Select all that apply)</t>
  </si>
  <si>
    <t>PRE</t>
  </si>
  <si>
    <t>POST</t>
  </si>
  <si>
    <t>Asset Name</t>
  </si>
  <si>
    <t>Asset ID</t>
  </si>
  <si>
    <t xml:space="preserve">Ian Koenig </t>
  </si>
  <si>
    <t>Decommission Cost</t>
  </si>
  <si>
    <t>Principle Nbr.</t>
  </si>
  <si>
    <t>Golden Rule Debt (SM)</t>
  </si>
  <si>
    <t>Monthly OpEx</t>
  </si>
  <si>
    <t>Scorecard Tab</t>
  </si>
  <si>
    <t>1.a</t>
  </si>
  <si>
    <t>1.b</t>
  </si>
  <si>
    <t>1.c</t>
  </si>
  <si>
    <t>3.a</t>
  </si>
  <si>
    <t>3.b</t>
  </si>
  <si>
    <t>3.c</t>
  </si>
  <si>
    <t xml:space="preserve">Debt  Capture Tab </t>
  </si>
  <si>
    <t>4.a</t>
  </si>
  <si>
    <t>4.b</t>
  </si>
  <si>
    <t>4.c</t>
  </si>
  <si>
    <t>4.d</t>
  </si>
  <si>
    <t>Assign an overall score for this asset in the Score column of row 6, using the same selection options described under step 1 above.</t>
  </si>
  <si>
    <t>3.d</t>
  </si>
  <si>
    <t>3.e</t>
  </si>
  <si>
    <t xml:space="preserve"> Business Objectives</t>
  </si>
  <si>
    <t>When filling out the Infrastructure debt, please follow these guidelines</t>
  </si>
  <si>
    <t>Deviation Cost</t>
  </si>
  <si>
    <t>User Migration cost</t>
  </si>
  <si>
    <t>Number of Staff Months (min/max) that will be required to unwind the tactical solution, shut it down (if necessary), build it strategically and migrate to the strategic solution</t>
  </si>
  <si>
    <t>If eliminating the tactical solution involves an impact on the end user, the number of staff months (min/max) required to manage the user migration from the tactical solution to the strategic solution</t>
  </si>
  <si>
    <t>One Time Cost</t>
  </si>
  <si>
    <t>The one time dollar cost of implementing the tactical solution (e.g. purchasing hardware)</t>
  </si>
  <si>
    <t>5.3.1</t>
  </si>
  <si>
    <t>Any Application that enables third-party language translations of content provided by our company MUST ensure that such translations are accompanied by prominent access to the original content we provide on which the translation was based.</t>
  </si>
  <si>
    <t>SR:1</t>
  </si>
  <si>
    <t>SR:331</t>
  </si>
  <si>
    <t>SR:458</t>
  </si>
  <si>
    <t>SR:24</t>
  </si>
  <si>
    <t>GR:57</t>
  </si>
  <si>
    <t>SR:348</t>
  </si>
  <si>
    <t>SR:350</t>
  </si>
  <si>
    <t>SR:464</t>
  </si>
  <si>
    <t>SR:466</t>
  </si>
  <si>
    <t>GR:58</t>
  </si>
  <si>
    <t>SR:537</t>
  </si>
  <si>
    <t>SR:159</t>
  </si>
  <si>
    <t>SR:161</t>
  </si>
  <si>
    <t>SR:162</t>
  </si>
  <si>
    <t>GR:60</t>
  </si>
  <si>
    <t>SR:408</t>
  </si>
  <si>
    <t>SR:228</t>
  </si>
  <si>
    <t>GR:20</t>
  </si>
  <si>
    <t>SR:217</t>
  </si>
  <si>
    <t>SR:218</t>
  </si>
  <si>
    <t>SR:546</t>
  </si>
  <si>
    <t>GR:24</t>
  </si>
  <si>
    <t>SR:224</t>
  </si>
  <si>
    <t>GR:27</t>
  </si>
  <si>
    <t>SR:230</t>
  </si>
  <si>
    <t>SR:231</t>
  </si>
  <si>
    <t>SR:233</t>
  </si>
  <si>
    <t>GR:28</t>
  </si>
  <si>
    <t>SR:234</t>
  </si>
  <si>
    <t>SR:236</t>
  </si>
  <si>
    <t>SR:260</t>
  </si>
  <si>
    <t>GR:30</t>
  </si>
  <si>
    <t>SR:242</t>
  </si>
  <si>
    <t>SR:243</t>
  </si>
  <si>
    <t>GR:32</t>
  </si>
  <si>
    <t>SR:246</t>
  </si>
  <si>
    <t>GR:33</t>
  </si>
  <si>
    <t>SR:247</t>
  </si>
  <si>
    <t>SR:248</t>
  </si>
  <si>
    <t>GR:34</t>
  </si>
  <si>
    <t>SR:249</t>
  </si>
  <si>
    <t>GR:35</t>
  </si>
  <si>
    <t>SR:250</t>
  </si>
  <si>
    <t>GR:36</t>
  </si>
  <si>
    <t>SR:255</t>
  </si>
  <si>
    <t>GR:37</t>
  </si>
  <si>
    <t>SR:256</t>
  </si>
  <si>
    <t>GR:38</t>
  </si>
  <si>
    <t>SR:257</t>
  </si>
  <si>
    <t>GR:77</t>
  </si>
  <si>
    <t>SR:560</t>
  </si>
  <si>
    <t>GR:78</t>
  </si>
  <si>
    <t>SR:562</t>
  </si>
  <si>
    <t>GR:44</t>
  </si>
  <si>
    <t>SR:525</t>
  </si>
  <si>
    <t>SR:526</t>
  </si>
  <si>
    <t>GR:45</t>
  </si>
  <si>
    <t>SR:527</t>
  </si>
  <si>
    <t>SR:528</t>
  </si>
  <si>
    <t>GR:75</t>
  </si>
  <si>
    <t>SR:530</t>
  </si>
  <si>
    <t>SR:531</t>
  </si>
  <si>
    <t>SR:532</t>
  </si>
  <si>
    <t>SR:504</t>
  </si>
  <si>
    <t>SR:507</t>
  </si>
  <si>
    <t>GR:79</t>
  </si>
  <si>
    <t>SR:548</t>
  </si>
  <si>
    <t>SR:554</t>
  </si>
  <si>
    <t>GR:49</t>
  </si>
  <si>
    <t>SR:288</t>
  </si>
  <si>
    <t>SR:290</t>
  </si>
  <si>
    <t>SR:293</t>
  </si>
  <si>
    <t>SR:294</t>
  </si>
  <si>
    <t>SR:427</t>
  </si>
  <si>
    <t>SR:428</t>
  </si>
  <si>
    <t>SR:295</t>
  </si>
  <si>
    <t>SR:300</t>
  </si>
  <si>
    <t>SR:429</t>
  </si>
  <si>
    <t>SR:430</t>
  </si>
  <si>
    <t>SR:431</t>
  </si>
  <si>
    <t>SR:297</t>
  </si>
  <si>
    <t>GR:51</t>
  </si>
  <si>
    <t>SR:303</t>
  </si>
  <si>
    <t>SR:304</t>
  </si>
  <si>
    <t>SR:306</t>
  </si>
  <si>
    <t>SR:307</t>
  </si>
  <si>
    <t>GR:62</t>
  </si>
  <si>
    <t>SR:434</t>
  </si>
  <si>
    <t>GR:53</t>
  </si>
  <si>
    <t>SR:311</t>
  </si>
  <si>
    <t>P:1</t>
  </si>
  <si>
    <t>P:2</t>
  </si>
  <si>
    <t>P:3</t>
  </si>
  <si>
    <t>P:5</t>
  </si>
  <si>
    <t>GR:67</t>
  </si>
  <si>
    <t>P:6</t>
  </si>
  <si>
    <t>SR:253</t>
  </si>
  <si>
    <t>P:7</t>
  </si>
  <si>
    <t>P:8</t>
  </si>
  <si>
    <t>P:9</t>
  </si>
  <si>
    <t>P:10</t>
  </si>
  <si>
    <t>P:11</t>
  </si>
  <si>
    <t>GR:54</t>
  </si>
  <si>
    <t>SR:312</t>
  </si>
  <si>
    <t>SR:314</t>
  </si>
  <si>
    <t>GR:55</t>
  </si>
  <si>
    <t>SR:315</t>
  </si>
  <si>
    <t>Publisher</t>
  </si>
  <si>
    <t>A service that publishes data via the PubSubHub</t>
  </si>
  <si>
    <t>Applications that are written to run natively on mobile devices like an Android device, iPhone or iPad. This type of application is typically written according to specifications from the vendor who regulates the mobile device in question, and usually has to be downloaded onto the mobile device from some kind of app store.</t>
  </si>
  <si>
    <t>A service that offers access to a purposed copy of content that is mastered by some other service (such as a search engine).</t>
  </si>
  <si>
    <t>Golden Rule Debt (by Principle)</t>
  </si>
  <si>
    <t>Sue Domain</t>
  </si>
  <si>
    <t>Joe Enterprise</t>
  </si>
  <si>
    <t>Profile Name</t>
  </si>
  <si>
    <t>Profile Description</t>
  </si>
  <si>
    <t>Profile On</t>
  </si>
  <si>
    <t>Debt Summary</t>
  </si>
  <si>
    <t>Mappng Sheet used to Initialize from Older Versions (Do Not edit unless you know what you are doing)</t>
  </si>
  <si>
    <t>DomainArchitectName</t>
  </si>
  <si>
    <t>EnterpriseArchitectId</t>
  </si>
  <si>
    <t>EnterpriseArchitectName</t>
  </si>
  <si>
    <t>DateOfReview</t>
  </si>
  <si>
    <t>DomainArchitectId</t>
  </si>
  <si>
    <t>ScoringPhase</t>
  </si>
  <si>
    <t>SummaryComments</t>
  </si>
  <si>
    <t>SummaryOfChanges</t>
  </si>
  <si>
    <t>SummaryScore</t>
  </si>
  <si>
    <t>A6</t>
  </si>
  <si>
    <t>C6</t>
  </si>
  <si>
    <t>D6</t>
  </si>
  <si>
    <t>F3</t>
  </si>
  <si>
    <t>B3</t>
  </si>
  <si>
    <t>D7</t>
  </si>
  <si>
    <t>D8</t>
  </si>
  <si>
    <t>F6</t>
  </si>
  <si>
    <t>C12</t>
  </si>
  <si>
    <t>D12</t>
  </si>
  <si>
    <t>H12</t>
  </si>
  <si>
    <t>C13</t>
  </si>
  <si>
    <t>D13</t>
  </si>
  <si>
    <t>H13</t>
  </si>
  <si>
    <t>C11</t>
  </si>
  <si>
    <t>D11</t>
  </si>
  <si>
    <t>H11</t>
  </si>
  <si>
    <t>C14</t>
  </si>
  <si>
    <t>D14</t>
  </si>
  <si>
    <t>H14</t>
  </si>
  <si>
    <t>L3</t>
  </si>
  <si>
    <t>1</t>
  </si>
  <si>
    <t>Generate the JSON Extract to upload to Glitz</t>
  </si>
  <si>
    <t>5.a</t>
  </si>
  <si>
    <t>10. Global</t>
  </si>
  <si>
    <t>3</t>
  </si>
  <si>
    <t>3.1</t>
  </si>
  <si>
    <t>3.2</t>
  </si>
  <si>
    <t>3.5</t>
  </si>
  <si>
    <t>5</t>
  </si>
  <si>
    <t>6</t>
  </si>
  <si>
    <t>4.2.2</t>
  </si>
  <si>
    <t>5.5.1</t>
  </si>
  <si>
    <t>6.1</t>
  </si>
  <si>
    <t>6.2</t>
  </si>
  <si>
    <t>6.3</t>
  </si>
  <si>
    <t>6.4</t>
  </si>
  <si>
    <t>6.6.3.2</t>
  </si>
  <si>
    <t>8</t>
  </si>
  <si>
    <t>9</t>
  </si>
  <si>
    <t>9.5</t>
  </si>
  <si>
    <t>10</t>
  </si>
  <si>
    <t>11</t>
  </si>
  <si>
    <t>W</t>
  </si>
  <si>
    <t>Safe_Risk_X</t>
  </si>
  <si>
    <t>Safe_Action_X</t>
  </si>
  <si>
    <t>Safe_Comment_X</t>
  </si>
  <si>
    <t>Operable_Risk_X</t>
  </si>
  <si>
    <t>Operable_Action_X</t>
  </si>
  <si>
    <t>Operable_Comment_X</t>
  </si>
  <si>
    <t>Sustainable_Risk_X</t>
  </si>
  <si>
    <t>Sustainable_Action_X</t>
  </si>
  <si>
    <t>Sustainable_Comment_X</t>
  </si>
  <si>
    <t>Global_Risk_X</t>
  </si>
  <si>
    <t>Global_Action_X</t>
  </si>
  <si>
    <t>Global_Comment_X</t>
  </si>
  <si>
    <t>Applications MUST use resource files/bundles to supply all text that is implemented as part of the user interface, including (but not limited to) messages, instructions, help information, field headers, button labels, and text-based navigation aids/links.</t>
  </si>
  <si>
    <t>Applications MUST use resource files/bundles to supply all icons and images that are implemented as part of the application’s user interface.</t>
  </si>
  <si>
    <t>Applications MUST use resource files/bundles to supply all CSS styling that is part of the user interface.</t>
  </si>
  <si>
    <t>10d</t>
  </si>
  <si>
    <t>Each Rule Tab contains the following Columns:</t>
  </si>
  <si>
    <t>Domain 
Architect Emp ID</t>
  </si>
  <si>
    <t>Domain Architect Name</t>
  </si>
  <si>
    <t>Enterprise Architect Emp ID</t>
  </si>
  <si>
    <t>Enterprise Architect Name</t>
  </si>
  <si>
    <t>Level of Governance</t>
  </si>
  <si>
    <t>Level 4</t>
  </si>
  <si>
    <t>GovernanceLevel</t>
  </si>
  <si>
    <t>Principle Number</t>
  </si>
  <si>
    <t>Golden Rule Debt
 (Staff Months)</t>
  </si>
  <si>
    <t>Debt ID</t>
  </si>
  <si>
    <t>This line intentionally left blank</t>
  </si>
  <si>
    <t>System Asset:</t>
  </si>
  <si>
    <t>System Asset Version</t>
  </si>
  <si>
    <r>
      <t xml:space="preserve">• Redid the way profiles work so you enter in the sheet and don’t use custom views
• Redid the way Debt capture works and separated out GR sdebt from infrastructure debt and disconnect infrastructure debt from the principle
• Added code to automatically set the GR priciple once the debt reference is entered
• Changed Pre/Post to a dropdown
• Added Asset ID as new field in scorecard 
• Changed System Name to Asset Name 
• Reformatted Maintanable to follow model (no blank lines between rules)
• Reformatted the way profiles include rules or not and cleaned up the rule titles to be included when a test is in the profile
• Protected uneditable portions of sheets (except Debt Capture)
• Renumbered 5.3, 5.4,5.5  compliance rules for consistency (removed (5.3&amp;5.4) + renumbered 6.6.3.1 and 6.6.3.2)
</t>
    </r>
    <r>
      <rPr>
        <b/>
        <sz val="10"/>
        <rFont val="Arial"/>
        <family val="2"/>
      </rPr>
      <t xml:space="preserve">• </t>
    </r>
    <r>
      <rPr>
        <sz val="10"/>
        <rFont val="Arial"/>
        <family val="2"/>
      </rPr>
      <t>Lots of rule text changes (21 Golden Rule and 75 scorecard rules)
• Created a separate Publisher profile and removed duplicate profiles
• Added macro and button to initialize from a previous version (only v12 and v13 right now)
• Added Macro to output JSON file
• Added a field on the Scorecard sheet for Governance Tier
• Renaamed Scorecard to "System Asset Scorecard" since we also have a data asset scorecard</t>
    </r>
  </si>
  <si>
    <t>13.1</t>
  </si>
  <si>
    <t>Summary Tab</t>
  </si>
  <si>
    <t>Spell Check</t>
  </si>
  <si>
    <t>6.a</t>
  </si>
  <si>
    <t xml:space="preserve">The dollar cost (per month) of operating the tactical solution (that will be incurred until we shut it down in favor of a strategic solution).  If there is monthly maintenance and/or software licensing, it should be included here </t>
  </si>
  <si>
    <t>Applications MUST use resource files/bundles to supply all client-side code (e.g. JavaScript) that contains natural language text, time/date values, currency values, or numeric data that those scripts can manifest to the user.</t>
  </si>
  <si>
    <t xml:space="preserve">Excel does not do auto-spell check (like other office apps), so its probably a good idea to do this manually before publishing the scorecard.  To spell check a workbook, click the spelling button in the proofing group of the review tab.  This has to be done sheet by sheet. </t>
  </si>
  <si>
    <t>Scorecard Template Change History</t>
  </si>
  <si>
    <t>Golden Rule Debt</t>
  </si>
  <si>
    <t>Scorecard Template Version Information</t>
  </si>
  <si>
    <t>•  Rule SR:338 (1.5.3) only enabled for transactions masters 
•  Allow row / columns resizing in locked sheets (using macro)
•  Lots of spelling corrections
•  Copy Global Questions from older sheet as Range to Range mapping
•  Updated instructions for clarity</t>
  </si>
  <si>
    <r>
      <t>Press the "</t>
    </r>
    <r>
      <rPr>
        <b/>
        <sz val="10"/>
        <rFont val="Arial"/>
        <family val="2"/>
      </rPr>
      <t xml:space="preserve">Generate JSON" </t>
    </r>
    <r>
      <rPr>
        <sz val="10"/>
        <rFont val="Arial"/>
        <family val="2"/>
      </rPr>
      <t xml:space="preserve">button (to the right) in order to generate the JSON file that will be uploaded to Glitz.  The file is placed in the same directory as this workbook.  </t>
    </r>
  </si>
  <si>
    <r>
      <t xml:space="preserve">Do not enter anything in the </t>
    </r>
    <r>
      <rPr>
        <b/>
        <sz val="10"/>
        <rFont val="Arial"/>
        <family val="2"/>
      </rPr>
      <t>Summary</t>
    </r>
    <r>
      <rPr>
        <sz val="10"/>
        <rFont val="Arial"/>
        <family val="2"/>
      </rPr>
      <t xml:space="preserve"> Tab.  It is automatically populated when the Golden Rule tabs are filled in.</t>
    </r>
  </si>
  <si>
    <t>Press the "Update Scorecard" button to regenerate the Scorecard Tab.  This macro copies Temporary Waivers, Permanent Waivers, Exceptions, and the Debt Summary from indidual sheets to provide the summary on the scorecard sheet.   The "Update Scorecard" macro will also populate the waiver / exception counts located in the "Assessment" section of the Scorecard tab.</t>
  </si>
  <si>
    <r>
      <t xml:space="preserve">Provide a textual summary assessment for this asset in the </t>
    </r>
    <r>
      <rPr>
        <b/>
        <sz val="10"/>
        <rFont val="Arial"/>
        <family val="2"/>
      </rPr>
      <t>Summary Assessment</t>
    </r>
    <r>
      <rPr>
        <sz val="10"/>
        <rFont val="Arial"/>
        <family val="2"/>
      </rPr>
      <t xml:space="preserve"> column of row 6.(green box)</t>
    </r>
  </si>
  <si>
    <r>
      <t xml:space="preserve">Verify that the Asset ID </t>
    </r>
    <r>
      <rPr>
        <b/>
        <sz val="10"/>
        <rFont val="Arial"/>
        <family val="2"/>
      </rPr>
      <t>exactly</t>
    </r>
    <r>
      <rPr>
        <sz val="10"/>
        <rFont val="Arial"/>
        <family val="2"/>
      </rPr>
      <t xml:space="preserve"> matches the Asset ID in Glitz.  Verify the Domain Architect's ID matches their Employee ID in Active Directory (by looking them up in Outlook)</t>
    </r>
  </si>
  <si>
    <t>Enter your Employee ID and name (in appropriate boxes)</t>
  </si>
  <si>
    <t>PRF:11</t>
  </si>
  <si>
    <t>PRF:2</t>
  </si>
  <si>
    <t>PRF:3</t>
  </si>
  <si>
    <t>PRF:5</t>
  </si>
  <si>
    <t>PRF:6</t>
  </si>
  <si>
    <t>PRF:12</t>
  </si>
  <si>
    <t>BO:1</t>
  </si>
  <si>
    <t>BO:2</t>
  </si>
  <si>
    <t>BO:3</t>
  </si>
  <si>
    <t>BO:4</t>
  </si>
  <si>
    <t>13.2</t>
  </si>
  <si>
    <t>•  Updated to be consistent with Glitz
•  Changed EA summary values to "G", "Y", R", "WVR".  No more check mark and "X"
•  Updated JSON file to include PermID for Business Objectives
•  Updated JSON file to include PermID for Profiles
•  Fixed bug in v13 Initialization (missing parameter in VBA code)
•  Cleaned up Conditional Formatting in Rule sheets (and made consistent with new EA summary values)</t>
  </si>
  <si>
    <t>13.3</t>
  </si>
  <si>
    <t>Valid Values for Type (Column C)</t>
  </si>
  <si>
    <t>ID</t>
  </si>
  <si>
    <t>String</t>
  </si>
  <si>
    <t>SystemAssetDescription</t>
  </si>
  <si>
    <t>SystemAssetId</t>
  </si>
  <si>
    <t>SystemAssetName</t>
  </si>
  <si>
    <t>SystemAssetVersion</t>
  </si>
  <si>
    <t>•  Added Validatio to JSON creation
•  Made the following changes to names (which make JSON file not backwards compatible to v13.0, v13.1, v13.2 
   • SoftwareAssetVersionId changed to SystemAssetVersion 
   • SoftwareAssetDescription changed to SystemAssetDescription 
   • SoftwareAssetId changed to SystemAssetId 
   • SoftwareAssetName changed to SystemAssetName 
   • ScorecardTemplateVersionID changed to ScorecardTemplateVersion 
   • ScorecardSchemaVersionId changed to ScorecardSchemaVersion 
   • DebtId renamed  "Id" for Golden Rule Debt in JSON file
•  Removed DebtRef from Infrastructure Debt (and removed Id from JSON file)</t>
  </si>
  <si>
    <t>Ted Hills</t>
  </si>
  <si>
    <t xml:space="preserve">This is a post-implementation review, which occurs after the code is compete but before it's been deployed. </t>
  </si>
  <si>
    <t>B6</t>
  </si>
  <si>
    <t>Content derived from other content items must be traceable back to the content items from which it was derived.</t>
  </si>
  <si>
    <t>14.0</t>
  </si>
  <si>
    <t>•  Complete rewrite of Masters of Data; one rule about data interface schemas added to Modular
•  Removed two profiles: Master Data and Purposed Copy (they were only used by Masters of Data rules; no longer used)
based on feedback from Laurel Shifrin, Ian Koenig, and Greg Saxton</t>
  </si>
  <si>
    <t>SR:563</t>
  </si>
  <si>
    <t>SR:564</t>
  </si>
  <si>
    <t>SR:565</t>
  </si>
  <si>
    <t>SR:566</t>
  </si>
  <si>
    <t>SR:567</t>
  </si>
  <si>
    <t>SR:568</t>
  </si>
  <si>
    <t>SR:573</t>
  </si>
  <si>
    <t>SR:575</t>
  </si>
  <si>
    <t>SR:583</t>
  </si>
  <si>
    <t>13.x</t>
  </si>
  <si>
    <t>14.0.1</t>
  </si>
  <si>
    <t>•  Fixed bugs in macro MapName2Name, affecting Initialize from Previous Version button
•  Protected MapComplyValue macro from a null string.</t>
  </si>
  <si>
    <t>Gregory Saxton</t>
  </si>
  <si>
    <t>•  Fixed bug in Scorecard Tab for "One Time Cost ($)" value</t>
  </si>
  <si>
    <t>14.0.2</t>
  </si>
  <si>
    <t>14.0.3</t>
  </si>
  <si>
    <t>•  Removed references in named ranges RiskValues and DebtCaptureRules to external spreadsheets; removed named range Check</t>
  </si>
  <si>
    <t>14.0.4</t>
  </si>
  <si>
    <t>•  Fixed bug in macro subroutine ValidateGRDebt that didn't work for multi-digit debt reference numbers. This threw a false error when generating JSON.</t>
  </si>
  <si>
    <t>14.0.5</t>
  </si>
  <si>
    <t>•  Row 72 in the Modular tab was empty, which caused a miscount on rows.  The empty row has been deleted</t>
  </si>
  <si>
    <t>Ian Koenig</t>
  </si>
  <si>
    <t>14.0.6</t>
  </si>
  <si>
    <t>•  Several of the cells in column F on the Modular tab, where domain architect comments should be entered, had inappropriate data validations enabled. The validations have been cleared.</t>
  </si>
  <si>
    <t>14.0.7</t>
  </si>
  <si>
    <t>•  Changed print resolution of the "5. Compliant" tab to be 600 DPI, to match the other sheets, so that the entire workbook will print to a single PDF. Set all margins to "Normal" for consistency. Fixed print area on "2. Modular" tab.</t>
  </si>
  <si>
    <t>14.0.8</t>
  </si>
  <si>
    <t>Min (SM)</t>
  </si>
  <si>
    <t>Max (SM)</t>
  </si>
  <si>
    <t>Debt (Effort) in Staff Months</t>
  </si>
  <si>
    <t>•  Fixed some of the profile "x"s on the Masters of Data tab. Added labels of "Staff Months" and "(SM)" to debt columns on Scorecard tab. Added help links in column H on every scorecard tab. Deleted all custom views.</t>
  </si>
  <si>
    <t>•  Had to clear row 11 on Global tab for Profile macros to work. (Don’t know why this didn't cause a problem in earlier scorecards.)</t>
  </si>
  <si>
    <t>14.0.9</t>
  </si>
  <si>
    <t>14.0.10</t>
  </si>
  <si>
    <t>Logical Architecture Diagramming Using UML 2.0</t>
  </si>
  <si>
    <t>Asset Single Point of Failure Analysis</t>
  </si>
  <si>
    <t>Asset Analysis and Test Results</t>
  </si>
  <si>
    <t>15.0.0</t>
  </si>
  <si>
    <t>7.1.4</t>
  </si>
  <si>
    <r>
      <t>(</t>
    </r>
    <r>
      <rPr>
        <b/>
        <sz val="10"/>
        <rFont val="Arial"/>
        <family val="2"/>
      </rPr>
      <t>Low)</t>
    </r>
    <r>
      <rPr>
        <sz val="10"/>
        <rFont val="Arial"/>
        <family val="2"/>
      </rPr>
      <t xml:space="preserve"> This value means that the asset in question generates very little risk to the company from an architectural compliance perspective</t>
    </r>
  </si>
  <si>
    <r>
      <t>(</t>
    </r>
    <r>
      <rPr>
        <b/>
        <sz val="10"/>
        <rFont val="Arial"/>
        <family val="2"/>
      </rPr>
      <t>Medium</t>
    </r>
    <r>
      <rPr>
        <sz val="10"/>
        <rFont val="Arial"/>
        <family val="2"/>
      </rPr>
      <t>) This value means that the asset in question generates a moderate amount of risk to the company from an architectural compliance perspective.</t>
    </r>
  </si>
  <si>
    <r>
      <t>(</t>
    </r>
    <r>
      <rPr>
        <b/>
        <sz val="10"/>
        <rFont val="Arial"/>
        <family val="2"/>
      </rPr>
      <t>High</t>
    </r>
    <r>
      <rPr>
        <sz val="10"/>
        <rFont val="Arial"/>
        <family val="2"/>
      </rPr>
      <t>) This value means that the asset in question generates a moderate amount of risk to the company from an architectural compliance perspective.</t>
    </r>
  </si>
  <si>
    <t>Assets MUST be independently releasable from all other assets.</t>
  </si>
  <si>
    <t>Strategic assets MUST NOT be dependent on non-strategic or deprecated interfaces.</t>
  </si>
  <si>
    <t>A service that [a] masters data; [b] has a data flow in which the data comes in from back-end feeds rather than being maintained primarily via interactive requests from various clients; and [c] allows programmatic clients to consume its data via a Publish interface. This type of master service is referred to as a “Fabrication Master” because that is the typical structure for masters in the Content Systems domain. Naturally, any master that behaves this way qualifies whether it technically lives in the Content Systems domain or not.</t>
  </si>
  <si>
    <t xml:space="preserve">A service that masters data that is maintained primarily via interactive calls from clients to add, change, view and delete data items </t>
  </si>
  <si>
    <r>
      <t xml:space="preserve">All source code MUST be maintained in an approved Source Code Management system and follow approved maintenance processes as defined by Source Code Maintenance Policy </t>
    </r>
    <r>
      <rPr>
        <sz val="10"/>
        <color rgb="FF0070C0"/>
        <rFont val="Arial"/>
        <family val="2"/>
      </rPr>
      <t>[ref. 5c]</t>
    </r>
    <r>
      <rPr>
        <sz val="10"/>
        <color theme="1"/>
        <rFont val="Arial"/>
        <family val="2"/>
      </rPr>
      <t>.</t>
    </r>
  </si>
  <si>
    <t>HTTP[S] links to third party sites must not disclose sensitive information (for example session or authentication information due to GET parameters in a "referrer" field).</t>
  </si>
  <si>
    <t>SR:597</t>
  </si>
  <si>
    <t>SR:604</t>
  </si>
  <si>
    <t>GR:101</t>
  </si>
  <si>
    <t>SR:609</t>
  </si>
  <si>
    <t>• Set File property Hyperlink base to "C:" to prevent Excel from turning References links into relative links. Restored References to have absolute links. Fixed many References to use actual document titles rather than variants. Fixed spelling and other errors in many scorecard rules. Removed golden rule reference numbers from the text of many golden rules. Added macro SerializeTemplateToJSON.</t>
  </si>
  <si>
    <t>Major restructuring. 9 new golden rules, 12 new scorecard rules. Some rules dropped. Profiles adjusted.</t>
  </si>
  <si>
    <r>
      <t xml:space="preserve">If a service supports the exchange of locale-specific representations of date, time, currency or other numbers, such representations must be accompanied by a locale identifier compliant with the company's Technology Standard for Locales </t>
    </r>
    <r>
      <rPr>
        <sz val="10"/>
        <color rgb="FF0070C0"/>
        <rFont val="Arial"/>
        <family val="2"/>
      </rPr>
      <t>[ref. 10a]</t>
    </r>
    <r>
      <rPr>
        <sz val="10"/>
        <rFont val="Arial"/>
        <family val="2"/>
      </rPr>
      <t>.</t>
    </r>
  </si>
  <si>
    <t>SR:610</t>
  </si>
  <si>
    <t>SR:612</t>
  </si>
  <si>
    <t>SR:613</t>
  </si>
  <si>
    <t>SR:615</t>
  </si>
  <si>
    <t>SR:616</t>
  </si>
  <si>
    <t>10.3.7</t>
  </si>
  <si>
    <t>Technology Standard for Locales</t>
  </si>
  <si>
    <t xml:space="preserve">Technology Standard for the Representation of Currency </t>
  </si>
  <si>
    <t>Technology Standard for Currency Conversion</t>
  </si>
  <si>
    <t>Technology Standard for the Representation of Date and Time Values</t>
  </si>
  <si>
    <t>10e</t>
  </si>
  <si>
    <t>Technology Standard for the Representation of Time Zones</t>
  </si>
  <si>
    <t>10f</t>
  </si>
  <si>
    <t>Technology Standard for the Representation of Decimal Numbers</t>
  </si>
  <si>
    <t>10g</t>
  </si>
  <si>
    <t>Technology Standard for the Representation of Telephone Numbers</t>
  </si>
  <si>
    <t>10h</t>
  </si>
  <si>
    <t>Technology Standard for Accessibility</t>
  </si>
  <si>
    <t>15.0.1</t>
  </si>
  <si>
    <t>Changed macro procedure "Quoted" to escape backslashes, and to properly escape quote characters. Added macro OutputRuleProfileMapping, to facilitate uploading of scorecard rule x profile mapping, ahead of JSON upload being ready.</t>
  </si>
  <si>
    <t>15.0.2</t>
  </si>
  <si>
    <t>Added macro OutputRuleProfileMapping, to facilitate uploading of scorecard rule x profile mapping, ahead of JSON upload being ready.</t>
  </si>
  <si>
    <t>Number of Staff Months (min/max) involved in building the tactical solution that is exhibiting debt (essentially throw away)</t>
  </si>
  <si>
    <t>15.0.3</t>
  </si>
  <si>
    <r>
      <t xml:space="preserve">Two debt rows are included in the empty scorecard.  When you need to add more rows, press the "Add another row" button. If you want to remove a debt item, </t>
    </r>
    <r>
      <rPr>
        <b/>
        <sz val="10"/>
        <rFont val="Arial"/>
        <family val="2"/>
      </rPr>
      <t>do not delete rows</t>
    </r>
    <r>
      <rPr>
        <sz val="10"/>
        <rFont val="Arial"/>
        <family val="2"/>
      </rPr>
      <t>, as this messes up Excel's formulas. Instead, simply clear the cells.</t>
    </r>
  </si>
  <si>
    <t>• Re-did Conditional Formatting in the answer column (E) on all tabs.
• Updated reference 5b.
• Check for blank values in Debt capture, to match the validation done on JSON upload.
• On JSON upload, warn if the Review Date is +/- 30 days of the current date.
• Updated instructions.</t>
  </si>
  <si>
    <r>
      <t xml:space="preserve">This tab is used to track Golden Rule and Infrastructure debt and to provide traceability back to rule exceptions in the scorecard.   Each issue is classified as either golden rule debt or infrastructure debt (see 4.b), although it is possible for a single issue that imply both golden rule debt and infrastructure debt.  Debt is estimated using a range (minimum, maximum).   </t>
    </r>
    <r>
      <rPr>
        <b/>
        <sz val="10"/>
        <rFont val="Arial"/>
        <family val="2"/>
      </rPr>
      <t>Note: Any issue that can be traced directly to a MUST rule violation MUST be classified as golden rule debt and the primary principle number for the rule must be entered. Infrastructure debt must always be subordinate to a golden rule debt item, but there are no Debt IDs for tracking infrastructure debt items back to golden rule debt items.</t>
    </r>
    <r>
      <rPr>
        <sz val="10"/>
        <rFont val="Arial"/>
        <family val="2"/>
      </rPr>
      <t xml:space="preserve"> No debt should be calculated for SHOULD rule violations or P-WVRs. Debt should be calculated for T-WVRs and for rule violations.</t>
    </r>
  </si>
  <si>
    <r>
      <t xml:space="preserve">A golden rule debt item MUST be related to one or more rule exceptions. A rule violation must be related to one or more golden rule debt items. Even though a golden rule debt item might be related to rule exceptions under more than one principle, </t>
    </r>
    <r>
      <rPr>
        <b/>
        <sz val="10"/>
        <rFont val="Arial"/>
        <family val="2"/>
      </rPr>
      <t>only one principle</t>
    </r>
    <r>
      <rPr>
        <sz val="10"/>
        <rFont val="Arial"/>
        <family val="2"/>
      </rPr>
      <t xml:space="preserve"> may be listed per golden rule.</t>
    </r>
  </si>
  <si>
    <t>15.0.4</t>
  </si>
  <si>
    <t>• Updated mapping sheet to include new rules. Fixed macro procedure MapPID2PID to successfully copy answers even when the rule has moved between principles (and therefore between worksheets) and when golden rule numbers are in double digits.
• Fixed scrolling on Global and Maintainable tabs.
• Global Rule 10.5.2 needed an "M" in column C
• Deleted hidden row 23 on Compliant sheet.</t>
  </si>
  <si>
    <t>Perform an overall rollup summarization for each principle, using only the Green/Yellow/Red lights described under step 1 above, placing the score into Column E of Row 2 in the worksheet for that principle.</t>
  </si>
  <si>
    <t>6e</t>
  </si>
  <si>
    <t>Global Architecture Encryption Standard</t>
  </si>
  <si>
    <t>Global Product Design Standards</t>
  </si>
  <si>
    <r>
      <t xml:space="preserve">Customer-facing user interface applications MUST provide a user interface that complies with the company’s Global Product Design Standards </t>
    </r>
    <r>
      <rPr>
        <sz val="10"/>
        <color rgb="FF0070C0"/>
        <rFont val="Arial"/>
        <family val="2"/>
      </rPr>
      <t>[ref. 10h]</t>
    </r>
    <r>
      <rPr>
        <sz val="10"/>
        <rFont val="Arial"/>
        <family val="2"/>
      </rPr>
      <t>.</t>
    </r>
  </si>
  <si>
    <t>5d</t>
  </si>
  <si>
    <t>15.1.0</t>
  </si>
  <si>
    <t>If you no longer need a debt item, simply clear the cells.</t>
  </si>
  <si>
    <r>
      <rPr>
        <b/>
        <sz val="11"/>
        <color rgb="FF0033CC"/>
        <rFont val="Arial"/>
        <family val="2"/>
      </rPr>
      <t>DO NOT DELETE ROWS!</t>
    </r>
    <r>
      <rPr>
        <sz val="11"/>
        <color rgb="FF0033CC"/>
        <rFont val="Arial"/>
        <family val="2"/>
      </rPr>
      <t xml:space="preserve"> It messes with formulas.</t>
    </r>
  </si>
  <si>
    <r>
      <t xml:space="preserve">Perform a rollup summarization of the individual entries subordinate to a given golden rule by selecting a value for the </t>
    </r>
    <r>
      <rPr>
        <b/>
        <sz val="10"/>
        <rFont val="Arial"/>
        <family val="2"/>
      </rPr>
      <t>Comply</t>
    </r>
    <r>
      <rPr>
        <sz val="10"/>
        <rFont val="Arial"/>
        <family val="2"/>
      </rPr>
      <t xml:space="preserve"> column and providing any summary comments that seem appropriate in the </t>
    </r>
    <r>
      <rPr>
        <b/>
        <sz val="10"/>
        <rFont val="Arial"/>
        <family val="2"/>
      </rPr>
      <t>Explanation</t>
    </r>
    <r>
      <rPr>
        <sz val="10"/>
        <rFont val="Arial"/>
        <family val="2"/>
      </rPr>
      <t xml:space="preserve"> column. </t>
    </r>
  </si>
  <si>
    <t>• Deleted rules 5.4.2 (consolidated with 4.2.5), 6.9.2 (consolidated with 6.9.1), and 4.2.4 (consolidated with 4.2.3)
• Deleted golden rule 4.3 in its entirety.
• Global golden rule 10.5 on accessibility moved to Compliant principle; now rule 5.7.
• Wording improvements on a variety of rules.
• Responses at the principle level now limited to R, Y, G. WVR and N/A disallowed.
• Standardized column widths on all scorecard tabs.
• Updated many references.
• In macro CopyException, protect against row height exceeding 300 (because of lengthy domain architect comment).</t>
  </si>
  <si>
    <t>15.1.1</t>
  </si>
  <si>
    <t>• JSON output now requires R, Y, or G answers to Principles.
• Default answer of "Domain architect comments" will no longer confuse validation macros.
• Review date defaults to blank.
• Answer cells formatted as text so Excel won't see formulas in them.</t>
  </si>
  <si>
    <t>15.1.2</t>
  </si>
  <si>
    <t>• Added macro function to map principle numbers from Debt Capture sheet to principle Perm IDs. (The System Asset Scorecard template was just lucky because they happened to be equal, but this didn't work for the Data Asset Scorecard template.)
• List mapping of principles to business objectives in comments and input instructions on the ScoreCard tab.
• Modified macro function ValidatePScore to take governance level into account.</t>
  </si>
  <si>
    <t>15.1.3</t>
  </si>
  <si>
    <t>• Golden rule 4.3 was missing from the Summary tab.</t>
  </si>
  <si>
    <t>15.1.4</t>
  </si>
  <si>
    <r>
      <rPr>
        <b/>
        <u/>
        <sz val="10"/>
        <rFont val="Arial"/>
        <family val="2"/>
      </rPr>
      <t xml:space="preserve">In Masters of Data
</t>
    </r>
    <r>
      <rPr>
        <sz val="10"/>
        <rFont val="Arial"/>
        <family val="2"/>
      </rPr>
      <t xml:space="preserve">
• Rule 1.1.1 was reworded for clarity to read as follows: “All LN Data Sets (both master and purposed copies) MUST have a single owner responsible for that data.” 
• Rule 12.2 and its sub-rules were changed, based on EA Team decision, to unify character case usage in names to use all lower case for consistency across content &amp; interface schemas.  This was to preserve many months of schema development effort prior to the implementation of the scorecard. Rule 1.12.2 and its sub-rules were changed to read changed to read as follows:
   o 1.12.2 Data item and data item structure names and XML schemas MUST follow specified capitalization conventions: 
      -- 1.12.2.1 XML Element and data type names MUST use LOWER case.
      -- 1.12.2.2 XML data item file names MUST use LOWER case.
      -- 1.12.2.3 XML Attribute names MUST use LOWER case.
      -- 1.12.2.4 XML namespace prefixes MUST use LOWER case.
      -- 1.12.2.5 The domain name portion of XML namespace URLs MUST be in lower case.
      -- 1.12.2.6 Acronyms, Abbreviations and contractions used in XML element and data type names MUST follow the same capitalization rules as the rest of the name.
</t>
    </r>
    <r>
      <rPr>
        <b/>
        <u/>
        <sz val="10"/>
        <rFont val="Arial"/>
        <family val="2"/>
      </rPr>
      <t>In Modular</t>
    </r>
    <r>
      <rPr>
        <sz val="10"/>
        <rFont val="Arial"/>
        <family val="2"/>
      </rPr>
      <t xml:space="preserve">
• Rule 2.7.2 and its sub-rules were changed, based on EA Team decision, to unify character case usage in names to use all lower case for consistency across content &amp; interface schemas.  This was to preserve many months of schema development effort prior to the implementation of the scorecard. Rule 2.7.2 and its sub-rules were changed to read changed to read as follows:
   o 2.7.2 XML schemas MUST follow specified capitalization conventions.    
      -- 2.7.2.1 XML Element and data type names MUST use LOWER case.    
      -- 2.7.2.2 XML data item file names MUST use LOWER case.    
      -- 2.7.2.3 XML Attribute names MUST use LOWER case.    
      -- 2.7.2.4 XML namespace prefixes MUST use lower case.    
      -- 2.7.2.5 The domain name portion of XML namespace URLs MUST be in lower case.    
      -- 2.7.2.6 Acronyms, Abbreviations and contractions used in XML element and data type names MUST follow the same capitalization rules as the rest of the name.</t>
    </r>
  </si>
  <si>
    <t>15.2.0</t>
  </si>
  <si>
    <t>Publicly accessible administrative interfaces MUST use two-factor authentication (e.g. password plus IP address).</t>
  </si>
  <si>
    <t>Use of legacy assets MUST be identified on architecture diagrams.</t>
  </si>
  <si>
    <t>16.0.0</t>
  </si>
  <si>
    <t xml:space="preserve">The infrastructure for the asset must have a current SAQ (ISAQ / TPSAQ / CSAQ), it must have scored either Corporate Trust or Trusted Partner, and the *SAQ must be published and available on request. </t>
  </si>
  <si>
    <t>• Deleted scorecard rules 5.1.1 (SR:229) and 10.2.12 (SR:433).
• Wording changes to rules 1.3.2, 1.3.3, 2.4.9, 2.4.10, 3.1, 3.1.1, 3.1.2, 4.1.1, 5.1.2 (formerly 5.1.3), 5.6.1, 5.7.8, 5.7.10, 6.6.4
• Removed some rules from some profiles.</t>
  </si>
  <si>
    <t>Strategic assets and infrastructure MUST NOT be dependent upon legacy assets.</t>
  </si>
  <si>
    <t>2l</t>
  </si>
  <si>
    <t>Custom Media Type registry</t>
  </si>
  <si>
    <t>2m</t>
  </si>
  <si>
    <t>Custom HTTP Header registry</t>
  </si>
  <si>
    <t>GR:135</t>
  </si>
  <si>
    <t>GR:137</t>
  </si>
  <si>
    <t>GR:138</t>
  </si>
  <si>
    <t>SR:725</t>
  </si>
  <si>
    <t>SR:727</t>
  </si>
  <si>
    <t>SR:732</t>
  </si>
  <si>
    <t>SR:742</t>
  </si>
  <si>
    <t>SR:747</t>
  </si>
  <si>
    <t>SR:752</t>
  </si>
  <si>
    <t>SR:753</t>
  </si>
  <si>
    <t>SR:754</t>
  </si>
  <si>
    <t>SR:755</t>
  </si>
  <si>
    <t>SR:765</t>
  </si>
  <si>
    <t>SR:767</t>
  </si>
  <si>
    <t>• Adjusted mapping of Masters of Data rules to profiles per EA Issue #343.
• Adjusted mapping of all rules to the Mobile App profile per EA Issue #375.
• Added rule 4.3.2, requiring that technology usage be recorded per asset.
• Golden Rule 3.4 (GR:23) and rule 3.4.1 (SR:223) moved to 4. Standards, renumbered as 4.4 and 4.4.1, so that they are mandatory at Level 1 governance. Added Should rule 4.4.2 for modules.
• Deleted scorecard rule 6.6.2 (SR:251).
• Deleted scorecard rules 6.12.1 (SR:601) and 6.12.2 (SR:602). Deleted Golden Rule 6.12 (GR:97). Its only scorecard rule, 6.12.3 (SR:603) was moved under existing rule 4.2 (GR:61), to be 4.2.5.
• Deleted Golden Rule 6.14 (GR:99). Its only scorecard rule, 6.14.1 (SR:605) was moved under new rule 6.14, to be 6.14.11.
• Former 6.13 is now 6.12; former 6.15 is now 6.13.
• Added Security Infrastructure golden rules 6.14 through 6.18.
• Added Golden Rule 9.7, Plan for Functional Testing, and 3 subordinate scorecard rules.
• Lots of references added.</t>
  </si>
  <si>
    <t>16.0.1</t>
  </si>
  <si>
    <t>• Fix some of the golden rule/profile mapping roll-up formulas affected by insertion of new rules.</t>
  </si>
  <si>
    <t>16.0.2</t>
  </si>
  <si>
    <t>• Minor spelling and typo corrections.</t>
  </si>
  <si>
    <r>
      <t xml:space="preserve">Fill in your information in the </t>
    </r>
    <r>
      <rPr>
        <b/>
        <sz val="10"/>
        <rFont val="Arial"/>
        <family val="2"/>
      </rPr>
      <t xml:space="preserve">Scorecard </t>
    </r>
    <r>
      <rPr>
        <sz val="10"/>
        <rFont val="Arial"/>
        <family val="2"/>
      </rPr>
      <t xml:space="preserve">tab (The light blue boxes) describing the asset being evaluated. </t>
    </r>
  </si>
  <si>
    <r>
      <t xml:space="preserve">If this asset has already been scored, you may initialize the new scorecard from the old scorecard.  Press the "Initialize" Button to the right
and select the file to copy values from. After Initialization, depending on the version of the old scorecard some info still needs to be verified / entered by hand.  Please Check carefully.
</t>
    </r>
    <r>
      <rPr>
        <b/>
        <sz val="10"/>
        <color rgb="FFFF0000"/>
        <rFont val="Arial"/>
        <family val="2"/>
      </rPr>
      <t>The Change History has a bright red line. Scorecards in the older versions listed below this line will not completely initialize.</t>
    </r>
    <r>
      <rPr>
        <sz val="10"/>
        <rFont val="Arial"/>
        <family val="2"/>
      </rPr>
      <t xml:space="preserve">
</t>
    </r>
    <r>
      <rPr>
        <b/>
        <sz val="10"/>
        <rFont val="Arial"/>
        <family val="2"/>
      </rPr>
      <t>Profiles, Infrastructure Debt Capture, Asset Version, Global Questions, Employee IDs, and several other fields will not copy over from older versions</t>
    </r>
    <r>
      <rPr>
        <sz val="10"/>
        <rFont val="Arial"/>
        <family val="2"/>
      </rPr>
      <t xml:space="preserve">.  </t>
    </r>
    <r>
      <rPr>
        <sz val="10"/>
        <color rgb="FFFF0000"/>
        <rFont val="Arial"/>
        <family val="2"/>
      </rPr>
      <t>You will have to enter those manually.</t>
    </r>
  </si>
  <si>
    <t>Define whether this is a pre-implementation or a post-implementation scorecard.</t>
  </si>
  <si>
    <t xml:space="preserve">This is a pre-implementation review, which occurs after the architecture has been defined but before the code is complete.  There are fewer questions in a pre-implementation scorecard since compliance with most of the operability rules is unknown </t>
  </si>
  <si>
    <t>NOTE BENE:  The Asset ID must exactly match what is in Glitz.</t>
  </si>
  <si>
    <t>Scorecard Profiles</t>
  </si>
  <si>
    <t>How to fill out a scorecard</t>
  </si>
  <si>
    <t>Select all of the profiles that apply to the asset.  The profiles define the behaviors of the asset in order to enable / disable the appropriate rules. See the section Scorecard Profiles on the Wiki page System Asset Scorecard Template for details.</t>
  </si>
  <si>
    <t>Governance Levels for Systems Assets</t>
  </si>
  <si>
    <t xml:space="preserve">Questions have been worded so that answering "Yes" requires no explanation.  If the answer is not "Yes", an explanation is required in the blue box (column F).  Explanations should be brief but sufficient.  If more space is required for the explanation, resize the row to fit the text.   In general, explanations should referr to an item on a diagram or a point covered during architecture review.   If it looks like you need to write an essay,  its probably best to update other documentation and refer to it rather than writing a dissertation. </t>
  </si>
  <si>
    <t>Each item of non-compliance to a mandatory ("MUST") rule implies some amount of Debt, unless a P-WVR is requested.  In the Debt ID column, enter a Debt ID that references an associated row on the Debt Capture tab. See below for more details.  A single Debt ID may be used multiple times, since a singe fix may satisfy the compliance of multiple rules.  If multiple Debt IDs are associated with this item, separate them with commas (i.e. x,y)</t>
  </si>
  <si>
    <r>
      <t xml:space="preserve">Update the Comply value column for each question. See the section </t>
    </r>
    <r>
      <rPr>
        <b/>
        <sz val="10"/>
        <rFont val="Arial"/>
        <family val="2"/>
      </rPr>
      <t>Answering Questions for Domain Architects</t>
    </r>
    <r>
      <rPr>
        <sz val="10"/>
        <rFont val="Arial"/>
        <family val="2"/>
      </rPr>
      <t xml:space="preserve"> on the Wiki page </t>
    </r>
    <r>
      <rPr>
        <b/>
        <sz val="10"/>
        <rFont val="Arial"/>
        <family val="2"/>
      </rPr>
      <t>How to fill out a scorecard</t>
    </r>
    <r>
      <rPr>
        <sz val="10"/>
        <rFont val="Arial"/>
        <family val="2"/>
      </rPr>
      <t xml:space="preserve"> for the meaning of each answer.</t>
    </r>
  </si>
  <si>
    <r>
      <t xml:space="preserve">Update the Comply value column for each question. See the section </t>
    </r>
    <r>
      <rPr>
        <b/>
        <sz val="10"/>
        <rFont val="Arial"/>
        <family val="2"/>
      </rPr>
      <t>Answering Questions for Enterprise Architects</t>
    </r>
    <r>
      <rPr>
        <sz val="10"/>
        <rFont val="Arial"/>
        <family val="2"/>
      </rPr>
      <t xml:space="preserve"> on the Wiki page </t>
    </r>
    <r>
      <rPr>
        <b/>
        <sz val="10"/>
        <rFont val="Arial"/>
        <family val="2"/>
      </rPr>
      <t>How to fill out a scorecard</t>
    </r>
    <r>
      <rPr>
        <sz val="10"/>
        <rFont val="Arial"/>
        <family val="2"/>
      </rPr>
      <t xml:space="preserve"> for the meaning of each answer.</t>
    </r>
  </si>
  <si>
    <t>1.d</t>
  </si>
  <si>
    <r>
      <t xml:space="preserve">Define the </t>
    </r>
    <r>
      <rPr>
        <b/>
        <sz val="10"/>
        <rFont val="Arial"/>
        <family val="2"/>
      </rPr>
      <t>Level of Governance</t>
    </r>
    <r>
      <rPr>
        <sz val="10"/>
        <rFont val="Arial"/>
        <family val="2"/>
      </rPr>
      <t xml:space="preserve"> that the EA and DA agree will be applied in this assessment. Comments on the Objective cells in the ScoreCard tab list the principles included in that level. Higher-numbered levels include all of the principles listed in lower levels. See the Wiki page Governance Levels for Systems Assets for details.</t>
    </r>
  </si>
  <si>
    <t>Fill out the Business Objectives summary on the Scorecard tab as follows.</t>
  </si>
  <si>
    <r>
      <t xml:space="preserve">Select a </t>
    </r>
    <r>
      <rPr>
        <b/>
        <sz val="10"/>
        <rFont val="Arial"/>
        <family val="2"/>
      </rPr>
      <t>Risk Level</t>
    </r>
    <r>
      <rPr>
        <sz val="10"/>
        <rFont val="Arial"/>
        <family val="2"/>
      </rPr>
      <t xml:space="preserve"> for each of the four business objectives. (Comments on the Objective cells in the ScoreCard tab list the principles included in that level.)</t>
    </r>
  </si>
  <si>
    <t>In the Actions cell, provide a summary from the Principle rollups of the actions that need to be taken to reduce the risk to achieving the associated business objective.</t>
  </si>
  <si>
    <t>In the Commentary cell, provide the rationale for selecting the risk level associated with the business objective.</t>
  </si>
  <si>
    <t>• Prevent JSON generation if scorecard is incomplete.
• Removed text "Domain architect comments" from answer cells.
• Fixed entries on the Mapping tab for rules 9.2.3 and 9.2.4; they weren't copying from older scorecards.
• A formula is now used to determine whether golden rules are included in each profile. This should be more reliable than hard-coded "x"s for each profile.
• Rule sheet header rows now contain "x"s for all profiles.
• Order of change history is reversed so that version and date can be picked up by formulas on Instructions tab.</t>
  </si>
  <si>
    <t>16.0.3</t>
  </si>
  <si>
    <t>REFERENCE VALUES--DO NOT EDIT</t>
  </si>
  <si>
    <t>used for principle, golden rule, and overall rollups</t>
  </si>
  <si>
    <t>G</t>
  </si>
  <si>
    <t>Y</t>
  </si>
  <si>
    <t>R</t>
  </si>
  <si>
    <t>not valid for principle rollups or overall rollups</t>
  </si>
  <si>
    <t>used for rule scores and Profile On answers</t>
  </si>
  <si>
    <t>No</t>
  </si>
  <si>
    <t>T-WVR</t>
  </si>
  <si>
    <t>P-WVR</t>
  </si>
  <si>
    <t>Note that the mapping of architecture principles to Business Objectives is as follows:</t>
  </si>
  <si>
    <t>Level</t>
  </si>
  <si>
    <t xml:space="preserve">Business Objective                                          Principles </t>
  </si>
  <si>
    <t>Principles</t>
  </si>
  <si>
    <t>Safe</t>
  </si>
  <si>
    <t xml:space="preserve">Global </t>
  </si>
  <si>
    <t>; 10. Global</t>
  </si>
  <si>
    <t>Level 1</t>
  </si>
  <si>
    <t>Level 2</t>
  </si>
  <si>
    <t>Level 3</t>
  </si>
  <si>
    <r>
      <t xml:space="preserve">• Many instructions on the Instructions tab have been relocated to the GAR Wiki.
• The "InitFromPrev" macro now has code to determine which scorecard versions are "modernized" for both system asset template and data asset template. </t>
    </r>
    <r>
      <rPr>
        <b/>
        <sz val="10"/>
        <rFont val="Arial"/>
        <family val="2"/>
      </rPr>
      <t>Code must be commented/uncommented</t>
    </r>
    <r>
      <rPr>
        <sz val="10"/>
        <rFont val="Arial"/>
        <family val="2"/>
      </rPr>
      <t xml:space="preserve"> based on which template contains the code.
• Applied custom format to Summary Comment cells on Summary tab with </t>
    </r>
    <r>
      <rPr>
        <sz val="9"/>
        <rFont val="Lucida Console"/>
        <family val="3"/>
      </rPr>
      <t>General;General;""</t>
    </r>
    <r>
      <rPr>
        <sz val="10"/>
        <rFont val="Arial"/>
        <family val="2"/>
      </rPr>
      <t xml:space="preserve"> so that blank answers don't display as zeroes.
• Fix logic in ValidatePScore and ValidateGRScore to ignore N/A answers to rules not in  the governance level. This reduces noise warnings from scorecards initialized from older scorecards.
• Answers to Principles and Golden Rules now default to blank instead of N/A. This helps catch unanswered questions.</t>
    </r>
  </si>
  <si>
    <t>17.0.0</t>
  </si>
  <si>
    <t>External-Facing Application</t>
  </si>
  <si>
    <t>Internal-Facing Application</t>
  </si>
  <si>
    <t>an asset having a user interface that may be used by individuals who are neither employees nor contractors of LexisNexis</t>
  </si>
  <si>
    <t>PRF:20</t>
  </si>
  <si>
    <t>PRF:21</t>
  </si>
  <si>
    <t>REST Service API</t>
  </si>
  <si>
    <t>Non-REST Service API</t>
  </si>
  <si>
    <t>URL API</t>
  </si>
  <si>
    <t>an asset that exposes external RESTful service APIs</t>
  </si>
  <si>
    <t>an asset that exposes external non-RESTful service APIs</t>
  </si>
  <si>
    <t>an asset that exposes external URL APIs</t>
  </si>
  <si>
    <t>AA</t>
  </si>
  <si>
    <t>AC</t>
  </si>
  <si>
    <t>PRF:22</t>
  </si>
  <si>
    <t>PRF:23</t>
  </si>
  <si>
    <t>PRF:24</t>
  </si>
  <si>
    <t>System assets MUST NOT expose external service interfaces of type “K” (Sockets) or type “Q” (SQL).</t>
  </si>
  <si>
    <t>Major external interface versions MUST remain available for a minimum of three years following availability of the next major version or until all client dependencies have been removed.</t>
  </si>
  <si>
    <t>SR:783</t>
  </si>
  <si>
    <t>SR:784</t>
  </si>
  <si>
    <t>• API profile deleted and replaced by three new profiles: REST Service API; Non-REST Service API; URL API
• Application profile deleted and replaced by two new profiles: External-Facing Application and Internal-Facing Application
• Many rule-to-profile mappings updated
• 13 rules added; 17 rules deleted; 51 rules changed</t>
  </si>
  <si>
    <t>17.0.1</t>
  </si>
  <si>
    <t>• Fixed validation on profile on/off cells on ScoreCard tab.</t>
  </si>
  <si>
    <t>17.0.2</t>
  </si>
  <si>
    <t>• Changed code such that code is now 100% identical for both system and data asset scorecards, removing minor version limitation from v 16.0.3
• Localization changes to handling of decimal point in unformatted cells for rules and mapping. Issue was discovered by LN France.
• Improved formatting of text in summary tab to truncate text when appropriate
• Corrected summary tab forumula reference for rule 6.13</t>
  </si>
  <si>
    <t>2r</t>
  </si>
  <si>
    <t>Asset Interface Exposed registry</t>
  </si>
  <si>
    <t>17.1.0</t>
  </si>
  <si>
    <t>• Updated references made by Modular rules per email from Jeff Seitter 2015-07-17 8:32 AM.
• Updated Modular rules 2.1.3 (SR:725), 2.1.4 (SR:726), 2.3.8 (SR:785), 2.3.10 (SR:478), 2.4.8 (SR:415) per emails from Don Steiner.</t>
  </si>
  <si>
    <t>17.1.1</t>
  </si>
  <si>
    <t>• Updated links on References tab to SharePoint Online to reference federation server to make extra authentication step unnecessary when link is resolved by Internet Explorer, using URL syntax provided by Paul Rogers.</t>
  </si>
  <si>
    <t>17.1.2</t>
  </si>
  <si>
    <t>18.0.0</t>
  </si>
  <si>
    <t>Any external interfaces, including user interfaces, must be exposed via an infrastructure-agnostic address scheme, such as ESB &amp; DNS aliases, not IP addresses or machine names.</t>
  </si>
  <si>
    <t>SR:786</t>
  </si>
  <si>
    <t>• Removed rules 1.2.4 (SR:575) and 1.3.2 (SR:331) from the Business Service profile.
• Added rule 2.2.16 (SR:786)
• Removed rules 9.6.1 (SR:609) and 6.18.4 (SR:759) from the Internal Facing Application profile.
• Added golden rule 7.5 (GR:144) and scorecard rule 7.5.1 (SR:787).
• Changed wording of rules 1.10.1 (SR:775), 6.8.1 (SR:256), 6.16.3 (SR:753), and 6.18.2 (SR:757).
• Deleted rules 6.12.2 - 6.12.5 (SR:778 - SR:781).
• Removed all ActiveX objects. These were preventing the spreadsheet from working on Apple MacIntosh computers.</t>
  </si>
  <si>
    <t>18.0.1</t>
  </si>
  <si>
    <t>PermID</t>
  </si>
  <si>
    <t>Error or Warning</t>
  </si>
  <si>
    <t>Ref.</t>
  </si>
  <si>
    <t>Message</t>
  </si>
  <si>
    <t xml:space="preserve">Golden Rule Debt Total: </t>
  </si>
  <si>
    <t>debt set aside for irrelevant rules</t>
  </si>
  <si>
    <t>Justification of Risk Level</t>
  </si>
  <si>
    <t>• UpdateScorecard macro only processes rules enabled by governance level and profiles.
• Create button macros on Debt Capture sheet to replace ActiveX objects removed in the last release.
• Most JSON messages now placed on new Messages worksheet instead of being shown in the frmJSON form.
• Warnings are no longer given for correct answers to irrelevant rules. (A rule is irrelevant if it is not selected by an active profile or is on a principle not in the current governance level.)
• Irrelevant rules, and debt referenced only by irrelevant rules, are no longer output to JSON.
• Helpful comments for Summary Comments, Summary of Changes, RIsk Actions, and Risk Comments are moved into comments, so that an error will be generated if these fields are not filled out.
• Cleared hyperlink base so that relative hyperlinks within this worksheet would work.</t>
  </si>
  <si>
    <t>• Take golden rule and principle responses from principle worksheets rather than from the Summary worksheet. This eliminates a bug in the SerializeToJSON macro where blank golden rule responses were being reported as errors when the golden rule wasn't in the profile. It also eliminates the danger that a Summary tab that failed to reference a golden rule would result in that rule's response not being output to JSON. Also, cleaned up the macro code a bit.
• Irrelevant rules are no longer output to JSON.
• Widen frmJSON so full messages can be seen.
• Remove extra federation server code from Reference hyperlinks--no longer needed for SP Online.
• Restored reference 6a.</t>
  </si>
  <si>
    <t>18.0.2</t>
  </si>
  <si>
    <t>• Fix print areas on many sheets.
• Add macro SetRuleSheetPrintAreas.
• Clean up rule sheet title formatting (on row 2).</t>
  </si>
  <si>
    <t>18.0.3</t>
  </si>
  <si>
    <t>• Generalize macro SetRuleSheetPrintAreas to FormatScorecard. This is where formatting knowledge can be placed, to ensure that critical cell formats are correct.
• Eliminate use of Application.DecimalSeparator, which was the wrong solution for globalization. The right solution was to format rule reference numbers as text (see above).
• Do a better job of suppressing screen updates.
• Add macro RuleSheetPrincipleNumber, which centralizes the extraction of the principle number from a rule sheet name.
• Reference [5c] now references Technology Problem #4.
• Don't require debt items on Should rules.</t>
  </si>
  <si>
    <t>18.0.4</t>
  </si>
  <si>
    <t>• Update FormatScorecard to fix the format of cells on the Summary tab.</t>
  </si>
  <si>
    <t>Yes-N/A</t>
  </si>
  <si>
    <t>18.0.5</t>
  </si>
  <si>
    <t>• Validate additional infrastructure debt columns (Monthly OpEx, One Time Cost).
• Validate Debt IDs. They must be numeric.
• Scorecard rule answer "N/A" changed to "Yes-N/A".</t>
  </si>
  <si>
    <t>• Debt IDs required to be numeric, and Yes-N/A answers require explanations.</t>
  </si>
  <si>
    <t>18.0.6</t>
  </si>
  <si>
    <t>A given instance (of a machine image) may not have code deployed to it from more than one asset.</t>
  </si>
  <si>
    <t>SR:794</t>
  </si>
  <si>
    <t>SR:796</t>
  </si>
  <si>
    <t>SR:797</t>
  </si>
  <si>
    <t>SR:798</t>
  </si>
  <si>
    <t>SR:799</t>
  </si>
  <si>
    <t>GR:146</t>
  </si>
  <si>
    <t>19.0.0</t>
  </si>
  <si>
    <t>• Deleted golden rule 5.3 (GR:94) and scorecard rule 5.3.1 (SR:238). ESB application IDs no longer required.
• Deleted golden rule 6.13 (GR:100) and scorecard rule 6.13.1 (SR:606). Covered by 6.13.7 (SR:737).
• Scorecard rules 3.4.2 (SR:794) and 3.4.3 (SR:795) added under golden rule 3.4 (GR:24) to address asset machine images and asset releases.
• Scorecard rule 6.16.2 (SR:755) split into three rules, 6.16.2 (SR:755), 6.16.3 (SR:796), and 6.16.4 (SR:797).
• Golden rule 8.4 (GR:146) added to address inventory of hosts, with two new scorecard rules under it.
• Golden rule 8.5 (GR:147) added. Existing scorecard rules SR:422 and SR:603 were moved to it from golden rule 4.2 (GR:61).
• Scorecard rule 4.1.2 (SR:228) moved to 6.13.14, to keep it rolling up to Safe business objective.
• Scorecard rule 4.3.3 (SR:579) moved to 6.11.4, to keep it rolling up to Safe business objective.
• Wording of scorecard rule 1.1.2 (SR:564) clarified.
• "XML data items" changed to "XML documents" in scorecard rule 1.8.1 (SR:461).
• Golden rule 5.2 (GR:28) and scorecard rule 5.2.1 (SR:234) broadened to address any materials, not just content.
• "SSL" changed to "HTTPS" in scorecard rules 6.1.1 (SR:242) and 6.1.2 (SR:243).
• Change 6.9.1 (SR:257) to "security-related encryption or hashing".
• 6.14.4 (SR:782) allows more kinds of configuration information.
• Scorecard rule 7.5.1 (SR:787) changed to require incremental update mechanisms.
• Removed from pre-implementation profiles: 2.1.3 (SR:725), 2.1.4 (SR:726), 2.1.11 (SR:727), 2.4.6 (SR:728), 5.1.3 (SR:233)
• Added to pre-implementation profiles: 4.3.1 (SR:425), 4.3.2 (SR:729), 6.11.4 (SR:597)
• Scorecard rule 5.4.1 (SR:598) removed from all profiles except some post-implementation profiles.</t>
  </si>
  <si>
    <t>19.0.1</t>
  </si>
  <si>
    <t>• Reference 4b updated.</t>
  </si>
  <si>
    <t>19.0.2</t>
  </si>
  <si>
    <t>If setting aside (copying) debt from columns C&amp;D to F&amp;G, make sure to clear columns C, D, and E.</t>
  </si>
  <si>
    <t>Min Debt (SM)</t>
  </si>
  <si>
    <t>Max Debt (SM)</t>
  </si>
  <si>
    <t>• Removed WVR as a possible golden rule answer.
• Added guidance about clearing Debt Capture cells when setting aside debt.
• Made Debt Capture principle total formulas more robust.
• Added per-business-objective totals on Scorecard tab.
• Changed "deployed" to "used" in Global principle questions at top of tab.</t>
  </si>
  <si>
    <t>19.0.3</t>
  </si>
  <si>
    <t>• Add SR:794, SR:795, SR:796, SR:797 to hidden Mapping tab. They were missing.</t>
  </si>
  <si>
    <t>5g</t>
  </si>
  <si>
    <t>Web User Interface (technology standard)</t>
  </si>
  <si>
    <t>Source Code Maintenance Policy</t>
  </si>
  <si>
    <t>Any machine used for Internet web browsing may not have immediate and transparent write access to data masters.</t>
  </si>
  <si>
    <t>SR:1794</t>
  </si>
  <si>
    <t>20.0.0</t>
  </si>
  <si>
    <t>• Deleted obsolete reference 5b (formerly referenced by scorecard rule 5.3.1 (SR:238), which was deleted in 19.0.0).
• Scorecard rule 2.2.11 (SR:471) added to REST API, Non-REST API, and URL API profiles.
• Updates to wording of scorecard rules 1.2.4 (SR:575), 5.6.3 (SR:436), 6.10.1 (SR:560), and 6.15.3 (SR:753).
• Changed "data" to "date" in scorecard rule 10.2.4 (SR:301).
• Updates  to golden rule 4.3 (GR:93) and scorecard rules 4.3.1 (SR:425) and 4.3.2 (SR:729).
• Deleted scorecard rules 6.17.8 (SR:763) and 6.17.9 (SR:764).
• Added scorecard rule 6.15.4 (SR:1794).
• Removed "only" from description of Internal-Facing Application profile.
• Updated reference links.</t>
  </si>
  <si>
    <t>19.0.4</t>
  </si>
  <si>
    <t>• Fixed macro location of Business Objective comments cells, SCORECARD_COL_OBJECTIVE_COMMENT.</t>
  </si>
  <si>
    <t>21.0.0</t>
  </si>
  <si>
    <t>Impact</t>
  </si>
  <si>
    <t>Likelihood</t>
  </si>
  <si>
    <t>Aggregations of data must not lose the intellectual property or copyright ownership information from the original data and content.</t>
  </si>
  <si>
    <t>All embargos, restrictions and contractual obligations MUST be honored for third party materials, including content, software, and data.</t>
  </si>
  <si>
    <t>The system MUST generate sufficient records in order to calculate required royalties.</t>
  </si>
  <si>
    <t>Catastrophic</t>
  </si>
  <si>
    <t>10.1.10</t>
  </si>
  <si>
    <t>10.1.11</t>
  </si>
  <si>
    <t>10.1.12</t>
  </si>
  <si>
    <r>
      <t>System Assets that handle data fields representing text</t>
    </r>
    <r>
      <rPr>
        <sz val="10"/>
        <rFont val="Arial"/>
        <family val="2"/>
      </rPr>
      <t xml:space="preserve"> MUST represent such text using UTF-8, UTF-16, or UTF-32.</t>
    </r>
  </si>
  <si>
    <t>All text in UTF-8, UTF-16 or UTF-32 encoding MUST be normalized to a consistent Unicode Normal Form prior to any comparison or sorting operations.</t>
  </si>
  <si>
    <t>Services MUST preserve language, region and script identification appearing in natural language text they process.</t>
  </si>
  <si>
    <t>Services MUST preserve writing direction hints/instructions appearing in natural language text they process.</t>
  </si>
  <si>
    <r>
      <t xml:space="preserve">Services MUST support the exchange of locale-independent representations of date, time, currency and other numbers (but may also optionally support the exchange of
</t>
    </r>
    <r>
      <rPr>
        <sz val="10"/>
        <color theme="1"/>
        <rFont val="Arial"/>
        <family val="2"/>
      </rPr>
      <t>locale-specific representations)</t>
    </r>
  </si>
  <si>
    <r>
      <t xml:space="preserve">System assets MUST represent money in their external service interfaces as both a numeric value (representing the amount of money) plus a specification of the currency in question using an identifier compliant with the company's Technology Standard for the Representation of Currency </t>
    </r>
    <r>
      <rPr>
        <sz val="10"/>
        <color rgb="FF0070C0"/>
        <rFont val="Arial"/>
        <family val="2"/>
      </rPr>
      <t>[ref. 10b]</t>
    </r>
    <r>
      <rPr>
        <sz val="10"/>
        <rFont val="Arial"/>
        <family val="2"/>
      </rPr>
      <t>.</t>
    </r>
  </si>
  <si>
    <r>
      <t xml:space="preserve">System assets that convert money values across different currencies MUST </t>
    </r>
    <r>
      <rPr>
        <sz val="10"/>
        <color theme="1"/>
        <rFont val="Arial"/>
        <family val="2"/>
      </rPr>
      <t xml:space="preserve">perform and document such conversions in compliance </t>
    </r>
    <r>
      <rPr>
        <sz val="10"/>
        <rFont val="Arial"/>
        <family val="2"/>
      </rPr>
      <t xml:space="preserve">with the company's Technology Standard for Currency Conversion </t>
    </r>
    <r>
      <rPr>
        <sz val="10"/>
        <color rgb="FF0070C0"/>
        <rFont val="Arial"/>
        <family val="2"/>
      </rPr>
      <t>[ref. 10c]</t>
    </r>
    <r>
      <rPr>
        <sz val="10"/>
        <rFont val="Arial"/>
        <family val="2"/>
      </rPr>
      <t>.</t>
    </r>
  </si>
  <si>
    <r>
      <t xml:space="preserve">The exchange of date and/or time values via a system asset's external service interfaces MUST comply with the company's Technology Standard for the Representation of Date and Time Values </t>
    </r>
    <r>
      <rPr>
        <sz val="10"/>
        <color rgb="FF0070C0"/>
        <rFont val="Arial"/>
        <family val="2"/>
      </rPr>
      <t>[ref. 10d]</t>
    </r>
    <r>
      <rPr>
        <sz val="10"/>
        <rFont val="Arial"/>
        <family val="2"/>
      </rPr>
      <t>.</t>
    </r>
  </si>
  <si>
    <r>
      <t xml:space="preserve">Services MUST support the exchange of time zones through their external service interfaces in a form compliant with the company's Technology Standard for the Representation of Time Zones </t>
    </r>
    <r>
      <rPr>
        <sz val="10"/>
        <color rgb="FF0070C0"/>
        <rFont val="Arial"/>
        <family val="2"/>
      </rPr>
      <t>[ref. 10e]</t>
    </r>
    <r>
      <rPr>
        <sz val="10"/>
        <color theme="1"/>
        <rFont val="Arial"/>
        <family val="2"/>
      </rPr>
      <t>.</t>
    </r>
  </si>
  <si>
    <r>
      <t xml:space="preserve">Services MUST support the exchange </t>
    </r>
    <r>
      <rPr>
        <sz val="10"/>
        <color theme="1"/>
        <rFont val="Arial"/>
        <family val="2"/>
      </rPr>
      <t xml:space="preserve">of </t>
    </r>
    <r>
      <rPr>
        <sz val="10"/>
        <rFont val="Arial"/>
        <family val="2"/>
      </rPr>
      <t xml:space="preserve">decimal numbers through their external service interfaces in a format compatible with the company's Technology Standard for the Representation of Decimal Numbers </t>
    </r>
    <r>
      <rPr>
        <sz val="10"/>
        <color rgb="FF0070C0"/>
        <rFont val="Arial"/>
        <family val="2"/>
      </rPr>
      <t>[ref. 10f]</t>
    </r>
    <r>
      <rPr>
        <sz val="10"/>
        <rFont val="Arial"/>
        <family val="2"/>
      </rPr>
      <t>.</t>
    </r>
  </si>
  <si>
    <t>Any Application that enables third-party language translations of content provided by our company MUST ensure that such translations are unambiguously identified in the user experience as not having come from our company despite being based on content provided by us, using wording that has been approved by the corporate legal department.</t>
  </si>
  <si>
    <r>
      <t>System assets that use locales to modify their behaviors MUST support the use of two locale values</t>
    </r>
    <r>
      <rPr>
        <sz val="10"/>
        <rFont val="Arial"/>
        <family val="2"/>
      </rPr>
      <t>:
-- One for control of language-specific behaviors
-- One for the control of numeric data handling behaviors</t>
    </r>
  </si>
  <si>
    <t>System assets with customer-facing interactions MUST support locale-appropriate representations of numeric data (date, time, currency, etc.) for those interactions.</t>
  </si>
  <si>
    <t>An asset MUST NOT require its clients to use a proprietary library in order to access the asset.</t>
  </si>
  <si>
    <t>Failure events MUST generate log entries that include Transaction ID and User Perm id (if present)</t>
  </si>
  <si>
    <r>
      <t xml:space="preserve">Services MUST support the exchange of telephone numbers through their external service interfaces in a form compliant with the company's Technology Standard for the Representation of Telephone Numbers </t>
    </r>
    <r>
      <rPr>
        <sz val="10"/>
        <color rgb="FF0070C0"/>
        <rFont val="Arial"/>
        <family val="2"/>
      </rPr>
      <t>[ref. 10g]</t>
    </r>
    <r>
      <rPr>
        <sz val="10"/>
        <rFont val="Arial"/>
        <family val="2"/>
      </rPr>
      <t>.</t>
    </r>
  </si>
  <si>
    <t>Strategic applications and services must successfully complete a load test validating scalability and responsiveness under anticipated load.</t>
  </si>
  <si>
    <t>Application and service components must scale either horizontally (preferred) and/or vertically while minimizing disruption to service.</t>
  </si>
  <si>
    <t>Applications and services must degrade gracefully once load  exceeds available capacity</t>
  </si>
  <si>
    <t>Applications and services must be implemented to add or remove capacity with minimal engineering costs and delays.</t>
  </si>
  <si>
    <t>Applications and services must minimize the size of each incremental increase or decrease in capacity or maintain efficient density.</t>
  </si>
  <si>
    <t>Applications and services must optimize the use of purchased capacity over the purchase period.  1) Applications and services with predictable fixed workloads should use low cost options based on volume discounts and/or long term commitments.  2) Applications and services with unpredictable workloads should purchase capacity to minimize long term commitments.</t>
  </si>
  <si>
    <t>Applications and Services MUST respond to start/stop commands.</t>
  </si>
  <si>
    <t>When high availability and graceful shutdown is a priority for an Application or Service to avoid or minimize customer impact they MUST respond to commands to stop/start a single node with minimal or no customer interruption.</t>
  </si>
  <si>
    <t xml:space="preserve">Applications and Services MUST publish operational events to support troubleshooting during the certification and production stages. </t>
  </si>
  <si>
    <t>Cloud hosted Applications and Services MUST provide a way to correlate standard tags to operational events.</t>
  </si>
  <si>
    <t xml:space="preserve">Applications and Services MUST publish performance and capacity data needed to support KPIs and verify SLRs. </t>
  </si>
  <si>
    <t>Applications and Services MUST publish performance and capacity data needed for troubleshooting and root cause analysis of performance and capacity issues.</t>
  </si>
  <si>
    <t xml:space="preserve">Applications and Services MUST publish performance and capacity data to support capacity planning and elastic scaling. </t>
  </si>
  <si>
    <t>All physical/virtual systems must be inventoried and traceable back to the assets they support and to E2E team that manages them.</t>
  </si>
  <si>
    <t>Recovery, Performance, and Availability testing results MUST demonstrate the application or service meets minimally acceptable SLRs, within financial constraints for assets deployed to elastic computing Clouds, in both pre-production and production environments and the results must be retained and available for review.</t>
  </si>
  <si>
    <t>Any new and/or change to an application, component, service MUST be documented in a test plan,  verified before deployment to production, and the results retained for independent review.</t>
  </si>
  <si>
    <t>Managed Data</t>
  </si>
  <si>
    <t>A newly identified data asset MUST be registered to its mastering system asset.</t>
  </si>
  <si>
    <t>A system asset that is a master for some type of data must be registered as such in the official registry of master data.</t>
  </si>
  <si>
    <t>1.2</t>
  </si>
  <si>
    <t>A system asset must obtain its data only from authorized sources.</t>
  </si>
  <si>
    <t>A system asset must keep its data in sync with its sources.</t>
  </si>
  <si>
    <t>A system asset must provide synchronization mechanisms for data it distributes.</t>
  </si>
  <si>
    <t>A system asset that redistributes data must provide a faithful copy of the original.</t>
  </si>
  <si>
    <t>A system asset must only populate data attributes/elements with data that is consistent with the design/definitions of those attributes/elements.</t>
  </si>
  <si>
    <t>1.4</t>
  </si>
  <si>
    <t>1.3</t>
  </si>
  <si>
    <t>A system must identify data using an identifier designated as a preferred identifier by the data's master.</t>
  </si>
  <si>
    <t>A data asset may only be updated by one system asset.</t>
  </si>
  <si>
    <t>An editorial system MUST ensure that content sets under its control adhere to the structure, schema, and/or validity constraints defined for the content sets.</t>
  </si>
  <si>
    <t>A master system asset MUST validate any master data before it stores it, unless the data comes from a trusted source.</t>
  </si>
  <si>
    <t>1.5</t>
  </si>
  <si>
    <t>2.4</t>
  </si>
  <si>
    <t>Consumers of services / web applications MUST only use documented external interfaces designed and registered for that purpose.</t>
  </si>
  <si>
    <t>External service interfaces running atop HTTP(S) must be REST services.</t>
  </si>
  <si>
    <t>External service interfaces MUST NOT make use of 3rd party proprietary, commercial, and platform-specific elements that promote coupling.</t>
  </si>
  <si>
    <t>All end user selected secrets (like passwords and security answers) must be encrypted when transmitted.</t>
  </si>
  <si>
    <t>6.1.3</t>
  </si>
  <si>
    <t>All end user selected secrets (like passwords and security answers) must be encrypted or hashed when stored.</t>
  </si>
  <si>
    <t>Customer accounts must be difficult to attack.</t>
  </si>
  <si>
    <t>6.2.2</t>
  </si>
  <si>
    <t>Web traffic must be kept private.</t>
  </si>
  <si>
    <t>All authenticated web traffic on uncontrolled networks must only be transmitted via HTTPS (TLS).</t>
  </si>
  <si>
    <t>Untrusted inputs must be sanitized before being further used.</t>
  </si>
  <si>
    <t>The system MUST NOT store, transmit, or process PAN's (i.e. Credit Card Primary Account Number).</t>
  </si>
  <si>
    <t>If your system accepts credit cards or payment account numbers, you must be using (or be) one of the approved and tracked systems for doing so.</t>
  </si>
  <si>
    <t>Transactions involving sensitive data must be auditable.</t>
  </si>
  <si>
    <t>Highly regulated data (SPII) must be protected.</t>
  </si>
  <si>
    <t>The system must not use any highly-regulated (SPII) data.</t>
  </si>
  <si>
    <t>The system must mask any highly-regulated (SPII) data wherever possible.</t>
  </si>
  <si>
    <t>The system must encrypt highly regulated (SPII) data when it is transmitted or stored.</t>
  </si>
  <si>
    <t>.All authenticated transactions must be encrypted (i.e. HTTPS)</t>
  </si>
  <si>
    <t>Authentication secrets should not be captured to insecure log repositories (mask the secret in the log entry instead).</t>
  </si>
  <si>
    <t>Sensitive user data must not appear in a URI.</t>
  </si>
  <si>
    <t>Are all production changes reviewed, approved, and are the approvals documented and maintained for at least 2 years?</t>
  </si>
  <si>
    <t>Are all production destined code changes reviewed by another qualified party before being put in production, and are those review results documented and maintained in a way an auditor could review?</t>
  </si>
  <si>
    <t>Are all COTS components of the asset registered in Samurai?</t>
  </si>
  <si>
    <t>Are all COTS components of the asset not “prohibited”?</t>
  </si>
  <si>
    <t>Are all licenses tracked for COTS components of the asset?</t>
  </si>
  <si>
    <t>Does the asset undergo appropriate penetration testing?</t>
  </si>
  <si>
    <t>Is the asset subject to network vulnerability scans at least quarterly?</t>
  </si>
  <si>
    <t>Are successful and failed authentication events reliably captured and retained?</t>
  </si>
  <si>
    <t>Are authentication credential management events reliably captured and retained?</t>
  </si>
  <si>
    <t>Are sensitive transactions (privacy sensitive, regulated data sensitive, or cost sensitive) reliably captured and retained?</t>
  </si>
  <si>
    <t xml:space="preserve">Do the records include a reliable timestamp, originating IP address, user identity, and specific information about the activity wherever possible? </t>
  </si>
  <si>
    <t>Are records retained at least 90 days online and for one year total?</t>
  </si>
  <si>
    <t>Internet facing elements must be resistant to denial of service attacks, either by use of a protective service, or by making sure the vulnerable parts of the site are protected (perhaps by authentication, or perhaps by making the site highly and rapidly scalable).</t>
  </si>
  <si>
    <t>Infrastructure environments must be safe.</t>
  </si>
  <si>
    <t>If an employee separates from the company, is their access to important production systems automatically revoked (for example by tying production access to having a valid Active Directory ID)?</t>
  </si>
  <si>
    <t>Is there a process in place to distinguish which users need access to important production systems, and grant it only to them?</t>
  </si>
  <si>
    <t>Are human access rights to important production systems reviewed at least yearly by managers?</t>
  </si>
  <si>
    <t xml:space="preserve">Are changes to important production systems reliably traceable to the human who made them? </t>
  </si>
  <si>
    <t>Data must be traceable back to the system which distributed it.</t>
  </si>
  <si>
    <t>Are all hosts associated with the asset reporting the software installed on it (and any usage related to licensing) in an automated fashion?</t>
  </si>
  <si>
    <t>Severity</t>
  </si>
  <si>
    <t>Technology Problem 377</t>
  </si>
  <si>
    <r>
      <t xml:space="preserve">Each System Asset MUST define its logical structure using the company UML diagramming Standards </t>
    </r>
    <r>
      <rPr>
        <sz val="10"/>
        <color rgb="FF0070C0"/>
        <rFont val="Arial"/>
        <family val="2"/>
      </rPr>
      <t>[ref. 2a]</t>
    </r>
    <r>
      <rPr>
        <sz val="10"/>
        <rFont val="Arial"/>
        <family val="2"/>
      </rPr>
      <t xml:space="preserve"> and maintained accordingly.</t>
    </r>
  </si>
  <si>
    <r>
      <t xml:space="preserve">All external interfaces exposed and called by an asset MUST be registered in the Asset Interface Exposed &amp; Called registries </t>
    </r>
    <r>
      <rPr>
        <sz val="10"/>
        <color rgb="FF0070C0"/>
        <rFont val="Arial"/>
        <family val="2"/>
      </rPr>
      <t>[ref. 2r]</t>
    </r>
    <r>
      <rPr>
        <sz val="10"/>
        <rFont val="Arial"/>
        <family val="2"/>
      </rPr>
      <t>.</t>
    </r>
  </si>
  <si>
    <r>
      <t>Applications must pass accessibility testing with favorable results.  For Web Applications, see the company's Web User Interface standard </t>
    </r>
    <r>
      <rPr>
        <sz val="10"/>
        <color rgb="FF0070C0"/>
        <rFont val="Arial"/>
        <family val="2"/>
      </rPr>
      <t>[ref. 5g]</t>
    </r>
    <r>
      <rPr>
        <sz val="10"/>
        <rFont val="Arial"/>
        <family val="2"/>
      </rPr>
      <t>.</t>
    </r>
  </si>
  <si>
    <r>
      <t xml:space="preserve">Encryption implementations must use approved standard solutions </t>
    </r>
    <r>
      <rPr>
        <sz val="10"/>
        <color rgb="FF0070C0"/>
        <rFont val="Arial"/>
        <family val="2"/>
      </rPr>
      <t>[ref. 6e]</t>
    </r>
    <r>
      <rPr>
        <sz val="10"/>
        <rFont val="Arial"/>
        <family val="2"/>
      </rPr>
      <t>.</t>
    </r>
  </si>
  <si>
    <r>
      <t xml:space="preserve">Dependency analysis results MUST demonstrate the Application or Service will introduce no significant Recovery, Performance, and Availability impact on other Applications and Services. Dependent parties MUST be notified of SLR and Recovery Point Objective (RPO) changes. The use of the of the Asset Analysis and Test Results Worksheet </t>
    </r>
    <r>
      <rPr>
        <sz val="10"/>
        <color rgb="FF0070C0"/>
        <rFont val="Arial"/>
        <family val="2"/>
      </rPr>
      <t>[ref. 9d]</t>
    </r>
    <r>
      <rPr>
        <sz val="10"/>
        <color theme="1"/>
        <rFont val="Arial"/>
        <family val="2"/>
      </rPr>
      <t xml:space="preserve"> or its equivalent. is recommended.</t>
    </r>
  </si>
  <si>
    <t>Difficulty Answering (Low:1 - High:10)</t>
  </si>
  <si>
    <r>
      <t>Shared services, web application URL APIs</t>
    </r>
    <r>
      <rPr>
        <sz val="10"/>
        <color rgb="FFFF0000"/>
        <rFont val="Arial"/>
        <family val="2"/>
      </rPr>
      <t>,</t>
    </r>
    <r>
      <rPr>
        <sz val="10"/>
        <rFont val="Arial"/>
        <family val="2"/>
      </rPr>
      <t xml:space="preserve"> and their consumers MUST make parameters that change between operational environments (DEV, CERT, PROD, . . . ) configurable.</t>
    </r>
  </si>
  <si>
    <r>
      <t xml:space="preserve">External interfaces MUST document their specifications using a standard solution </t>
    </r>
    <r>
      <rPr>
        <sz val="10"/>
        <color rgb="FF0070C0"/>
        <rFont val="Arial"/>
        <family val="2"/>
      </rPr>
      <t>[ref. 2c]</t>
    </r>
    <r>
      <rPr>
        <sz val="10"/>
        <rFont val="Arial"/>
        <family val="2"/>
      </rPr>
      <t>.</t>
    </r>
  </si>
  <si>
    <t>A system asset shall wrap its persistent data in a layer of indirection so that its data’s structures, keys, enumerations, and other internal details may change without forcing changes in the rest of the asset or its clients.</t>
  </si>
  <si>
    <t>An external  interface must be built on a layer of indirection so that the asset’s internal data structures may change without necessarily forcing changes in the interface.</t>
  </si>
  <si>
    <r>
      <t xml:space="preserve">An interface must conform to the use of custom headers and media types that were previously defined by other interfaces and register new custom HTTP headers and media types for the benefit of others </t>
    </r>
    <r>
      <rPr>
        <sz val="10"/>
        <color rgb="FF0070C0"/>
        <rFont val="Arial"/>
        <family val="2"/>
      </rPr>
      <t>[ref. 2l]</t>
    </r>
    <r>
      <rPr>
        <sz val="10"/>
        <rFont val="Arial"/>
        <family val="2"/>
      </rPr>
      <t xml:space="preserve"> </t>
    </r>
    <r>
      <rPr>
        <sz val="10"/>
        <color rgb="FF0070C0"/>
        <rFont val="Arial"/>
        <family val="2"/>
      </rPr>
      <t>[ref. 2m]</t>
    </r>
    <r>
      <rPr>
        <sz val="10"/>
        <rFont val="Arial"/>
        <family val="2"/>
      </rPr>
      <t>.</t>
    </r>
  </si>
  <si>
    <t xml:space="preserve">Applications and services must efficiently balance load across available resources. </t>
  </si>
  <si>
    <t>The hosts MUST be part of an approved Inventory per the description in the Technology Owner responsibilities. https://wiki.regn.net/wiki/Technology_Owner#Hosting_and_Operations_Responsibilities</t>
  </si>
  <si>
    <r>
      <t xml:space="preserve">Applications and Services MUST document Recovery, Performance, and Availability SLRs for the asset and critical interfaces, including financial constraints for assets deployed to elastic computing Clouds, using a numeric form that can be measured, confirmed accurately, precisely, and consistently. The use of the Asset Recovery Objectives Worksheet </t>
    </r>
    <r>
      <rPr>
        <sz val="10"/>
        <color rgb="FF0070C0"/>
        <rFont val="Arial"/>
        <family val="2"/>
      </rPr>
      <t>[ref. 9a]</t>
    </r>
    <r>
      <rPr>
        <sz val="10"/>
        <color theme="1"/>
        <rFont val="Arial"/>
        <family val="2"/>
      </rPr>
      <t xml:space="preserve"> and Asset Single Point of Failure Analysis Worksheet </t>
    </r>
    <r>
      <rPr>
        <sz val="10"/>
        <color rgb="FF0070C0"/>
        <rFont val="Arial"/>
        <family val="2"/>
      </rPr>
      <t>[ref. 9c]</t>
    </r>
    <r>
      <rPr>
        <sz val="10"/>
        <color theme="1"/>
        <rFont val="Arial"/>
        <family val="2"/>
      </rPr>
      <t xml:space="preserve"> or their equivalent is recommended.</t>
    </r>
  </si>
  <si>
    <t>Applications and Services MUST define an Operational Plan that achieves minimally acceptable Recovery, Performance, and Availability SLRs, including data backups and testing cadence to assure the plan works within the specified financial constraints for assets deployed to elastic computing clouds.</t>
  </si>
  <si>
    <t>Corrective Actions</t>
  </si>
  <si>
    <t>Golden Rule Tabs   (1. Managed Data … 11. Maintainable)</t>
  </si>
  <si>
    <t>GR:1146</t>
  </si>
  <si>
    <t>GR:1147</t>
  </si>
  <si>
    <t>GR:1148</t>
  </si>
  <si>
    <t>GR:1149</t>
  </si>
  <si>
    <t>GR:1150</t>
  </si>
  <si>
    <t>GR:1151</t>
  </si>
  <si>
    <t>GR:1152</t>
  </si>
  <si>
    <t>GR:1154</t>
  </si>
  <si>
    <t>GR:1155</t>
  </si>
  <si>
    <t>GR:1156</t>
  </si>
  <si>
    <t>GR:1157</t>
  </si>
  <si>
    <t>GR:1158</t>
  </si>
  <si>
    <t>GR:1159</t>
  </si>
  <si>
    <t>GR:1160</t>
  </si>
  <si>
    <t>GR:1161</t>
  </si>
  <si>
    <t>GR:1162</t>
  </si>
  <si>
    <t>SR:1797</t>
  </si>
  <si>
    <t>SR:1798</t>
  </si>
  <si>
    <t>SR:1799</t>
  </si>
  <si>
    <t>SR:1800</t>
  </si>
  <si>
    <t>SR:1802</t>
  </si>
  <si>
    <t>SR:1803</t>
  </si>
  <si>
    <t>SR:1804</t>
  </si>
  <si>
    <t>6f</t>
  </si>
  <si>
    <t>Password Score Worksheet</t>
  </si>
  <si>
    <r>
      <t xml:space="preserve">The customer password rules implementation must meet the described minimum scores on the Password Score Worksheet </t>
    </r>
    <r>
      <rPr>
        <sz val="10"/>
        <color rgb="FF0070C0"/>
        <rFont val="Arial"/>
        <family val="2"/>
      </rPr>
      <t>[ref. 6f]</t>
    </r>
    <r>
      <rPr>
        <sz val="10"/>
        <rFont val="Arial"/>
        <family val="2"/>
      </rPr>
      <t>.</t>
    </r>
  </si>
  <si>
    <t>SR:1805</t>
  </si>
  <si>
    <t>SR:1806</t>
  </si>
  <si>
    <t>SR:1807</t>
  </si>
  <si>
    <t>SR:1808</t>
  </si>
  <si>
    <t>SR:1809</t>
  </si>
  <si>
    <t>SR:1810</t>
  </si>
  <si>
    <t>SR:1811</t>
  </si>
  <si>
    <t>SR:1812</t>
  </si>
  <si>
    <t>SR:1813</t>
  </si>
  <si>
    <t>SR:1814</t>
  </si>
  <si>
    <t>SR:1815</t>
  </si>
  <si>
    <t>SR:1816</t>
  </si>
  <si>
    <t>SR:1817</t>
  </si>
  <si>
    <t>SR:1818</t>
  </si>
  <si>
    <t>• Scorecard streamlined.
• 1. Masters of Data renamed 1. Data Management
• Deleted 1.2 (GR:81), 1.2.1 (SR:572), 1.2.3 (SR:574), 1.2.5 (SR:576), 1.3.1 (SR:333), 1.3.3 (SR:724), golden rules 1.4 - 1.10 and their scorecard rules (except for those moved up). 1.2.2 (SR:573) and 1.2.4 (SR:575) moved to new golden rule 6.19.
• Deleted 2.1.4, 2.1.5, 2.1.7, 2.1.8, 2.1.10(SR:726, SR:353, SR:465, SR:351, SR:467), 2.2.2 - 2.2.4 (SR:535, SR:469, SR:363), 2.2.8 - 2.2.15 (SR:364, SR:372, SR:470, SR:471, SR:472, SR:473, SR:474, SR:475), all of 2.3 (GR:59), 2.4.1 - 2.4.10.
• Deleted 3.1.3 (SR:418), 3.1.4 (SR:419), 3.2 (GR:21), 3.2.1 (SR:219), 3.3 (GR:22), 3.3.1-3.3.3 (SR:220-SR:222), 3.4.3 (SR:795), 3.5 (GR:63), 3.5.1 (SR:482)
• All Standards rules deleted and replaced with one new golden rule (GR:NEW) and scorecard rule 4.1.1 (SR:NEW).
• Deleted 5.1.4 (SR:232), 5.4.1 (SR:598), 5.5 (GR:96), 5.5.1 (SR:599),  5.5.2 (SR:600), 5.6.2-5.6.22 (SR:435-SR:455)
• All Scalable rules deleted and replaced with two new golden rules and 7 new scorecard rules.
• Deleted 6.2 (GR:31), 6.2.1 (SR:244), 6.6.2 (SR:252), 6.8.2 (SR:488), 6.10.2 (SR:561), 6.11.2-3 (SR:776-777), 6.12 (GR:98) (its scorecard rules moved elsewhere), 6.13.1 (SR:731), 6.13.3 - 6.13.12 (SR:733, SR:734, SR:735, SR:736, SR:737, SR:738, SR:739, SR:740, SR:605, SR:741), 6.14 (GR:136), 6.14.1-6.14.5 (SR:743, SR:744, SR:745, SR:782, SR:746), 6.14.8 (SR:749), 6.15.1 (SR:751), 6.17 (GR:139), 6.17.1 - 6.17.7 (SR:756-SR:762).
• Deleted 8.3.1 (SR:529), 8.5 (GR:147), 8.5.1 (GR:422), and 8.5.2 (GR:603). Added 8.4.2 (SR:).
• Deleted 9.1 (GR:68), 9.1.2 (SR:505), 9.1.3 (SR:506), 9.2 (GR:69), 9.3 (GR:70), 9.4 (GR:71), 9.5 (GR:79), 9.2.2 thru 9.5.1, 9.5.3 - 9.5.7 (SR:549-SR:553), 9.6 (GR:101), 9.6.1 (SR:609), 9.7 (GR:140), 9.7.1 (SR:766), 9.7.3 (SR:768)
• Deleted 10.1.2 (SR:289), 10.1.4 (SR:291), 10.1.5 (SR:292), 10.2 (GR:50), 10.2.4 (SR:301), 10.2.7 (SR:611), 10.2.8 (SR:296), 10.2.10 (SR:432), 10.3.1 (SR:302), 10.3.2 (SR:614), 10.3.6 (SR:305), 10.4 (GR:52), 10.4.1 (SR:308), 10.4.2 (SR:309)
• Deleted 11.1.1 (SR:310), 11.2.2 (SR:313), 11.4 (GR:56), 11.4.1-11.4.4 (SR:316-SR:318, SR:555)
• 17 new golden rules and 22 new scorecard rules added.
• Add logic in InitFromPrev macro, InitFromModernized function, to map old answers to current scorecard even when the principle name changed.</t>
  </si>
  <si>
    <t>SQL</t>
  </si>
  <si>
    <t xml:space="preserve">USE [Glitz]
GO
DELETE from [GoldenRuleStreamliningAttributes]
GO </t>
  </si>
  <si>
    <t>21.0.1</t>
  </si>
  <si>
    <t>• Macro DownloadScorecardFromGlitz added. Affected ModuleJSON, ModuleMain, and Sheet2(Scorecard).
• Added data and logic to the Summary worksheet, columns G - N, to support uploading severity information to a SQL database.
• On the Debt Capture worksheet, changed the title "Issues" to "Corrective Actions".</t>
  </si>
  <si>
    <t>21.0.2</t>
  </si>
  <si>
    <t>• Fixed bug in macro DownloadProfileSettings--affected DownloadScorecardFromGlitz. Also, check for EOF before trying to access debt items. Got rid of unnecessary message box.
• Impact of 5.1 is now Low (on Summary tab)</t>
  </si>
  <si>
    <t>21.0.3</t>
  </si>
  <si>
    <t>• Fixed another bug in macro DownloadProfileSettings--affected DownloadScorecardFromGlitz.</t>
  </si>
  <si>
    <t>21.0.4</t>
  </si>
  <si>
    <t>• Fixed final bug (I hope!) in macro DownloadProfileSettings--affected DownloadScorecardFromGlitz.</t>
  </si>
  <si>
    <t>21.0.5</t>
  </si>
  <si>
    <t>• Add some missing help links in column H of some rule sheets.</t>
  </si>
  <si>
    <t>22.0.0</t>
  </si>
  <si>
    <t>Reliable and Performant</t>
  </si>
  <si>
    <t>Fast to Market</t>
  </si>
  <si>
    <t>; 3. Reliable; 4. Scalable; 5. Manageable</t>
  </si>
  <si>
    <t>; 6. Simple; 7. Modular; 8. Maintainable; 9. Managed Data</t>
  </si>
  <si>
    <t>9. Managed Data</t>
  </si>
  <si>
    <t>7. Modular</t>
  </si>
  <si>
    <t>6. Simple</t>
  </si>
  <si>
    <t>2. Compliant</t>
  </si>
  <si>
    <t>1. Secure</t>
  </si>
  <si>
    <t>4. Scalable</t>
  </si>
  <si>
    <t>5. Manageable</t>
  </si>
  <si>
    <t>3. Reliable</t>
  </si>
  <si>
    <t>8. Maintainable</t>
  </si>
  <si>
    <t>Safe + Reliable and Performant</t>
  </si>
  <si>
    <t>Safe + Reliable and Performant + Fast to Market</t>
  </si>
  <si>
    <t>Safe + Reliable and Performant + Fast to Market + Global</t>
  </si>
  <si>
    <t xml:space="preserve">Reliable and Performant   </t>
  </si>
  <si>
    <t>7 - Modular</t>
  </si>
  <si>
    <t>2 - Compliant</t>
  </si>
  <si>
    <t>1 - Secure</t>
  </si>
  <si>
    <t>3 - Reliable</t>
  </si>
  <si>
    <t>Data Assets and their system host must be registered.</t>
  </si>
  <si>
    <t>Data Must be of high quality.</t>
  </si>
  <si>
    <t>Data must be encapsulated.</t>
  </si>
  <si>
    <t>Data must be traceable to its source.</t>
  </si>
  <si>
    <t>Data must be validated.</t>
  </si>
  <si>
    <t>Assets must expose and consume only well-defined External Interfaces.</t>
  </si>
  <si>
    <t>External Interfaces must be versioned and well managed.</t>
  </si>
  <si>
    <t>External Interfaces must be easily consumable.</t>
  </si>
  <si>
    <t>Systems must not be tightly coupled to their infrastructure / environment.</t>
  </si>
  <si>
    <t>External Interfaces must not be tightly coupled to implementation details.</t>
  </si>
  <si>
    <t>Legacy Assets and Deprecated Interfaces must not be used by Strategic assets.</t>
  </si>
  <si>
    <t>Code packaging must facilitate independent releases.</t>
  </si>
  <si>
    <t>Intellectual Property must be protected.</t>
  </si>
  <si>
    <t>3rd party IP must be used in accordance to its license.</t>
  </si>
  <si>
    <t>Source code must be stored in a secure and managed repository.</t>
  </si>
  <si>
    <t>Customer facing U/Is must be accessible by users with disabilities.</t>
  </si>
  <si>
    <t>End user Authentication secrets must be protected.</t>
  </si>
  <si>
    <t>Inputs from untrusted sources must be sanitized before use.</t>
  </si>
  <si>
    <t>Credit card payment account numbers must not be manipulated.</t>
  </si>
  <si>
    <t>Sensitive data must not be placed in a URI..</t>
  </si>
  <si>
    <t>Standard encryption implementations must be used where available.</t>
  </si>
  <si>
    <t>Production changes must be reviewed, approved and auditable.</t>
  </si>
  <si>
    <t>3rd party software must be used safely.</t>
  </si>
  <si>
    <t>Internet facing security exposures must be caught before they are exploited.</t>
  </si>
  <si>
    <t>Important security related events must be recorded and reported.</t>
  </si>
  <si>
    <t>Production environments must be kept separate and secure.</t>
  </si>
  <si>
    <t>Standard authentication implementations must be used where available.</t>
  </si>
  <si>
    <t>Systems must degrade gracefully when attacked.</t>
  </si>
  <si>
    <t>Access to important systems and data must be managed.</t>
  </si>
  <si>
    <t>Systems must deliver acceptable performance under anticipated load.</t>
  </si>
  <si>
    <t>Systems must optimize purchase of capacity.</t>
  </si>
  <si>
    <t>Systems must respond to standard control commands.</t>
  </si>
  <si>
    <t>Systems must publish appropriate operational events.</t>
  </si>
  <si>
    <t>Systems must publish Performance and Capacity data.</t>
  </si>
  <si>
    <t>An inventory of all system hosts must be available.</t>
  </si>
  <si>
    <t>Systems must meet performance and availability SLRs and Recovery Objectives.</t>
  </si>
  <si>
    <t>Systems must have an appropriate plan for functional testing.</t>
  </si>
  <si>
    <t>Systems must handle data in a globalized way.</t>
  </si>
  <si>
    <t>3rd party translations must be distinguished from company translations.</t>
  </si>
  <si>
    <t>Systems must to adapt to the user's preferred locale.</t>
  </si>
  <si>
    <t>An interface must be callable directly not require a proprietary library.</t>
  </si>
  <si>
    <t>Requests must be traceable from point of entry through all intermediaries.</t>
  </si>
  <si>
    <t>Code, Schemas, and APIs must be appropriately documented and commented.</t>
  </si>
  <si>
    <t>Secure solutions are consistent with the level of risk the company has elected to accept. They protect and preserve access to proprietary services and confidential information in the company’s systems. They transport information in a secure manner as necessary for the class of information.</t>
  </si>
  <si>
    <t>Compliant solutions uphold the law and comply with regulations. They adhere to the provisions of the company's contractual obligations. They protect the Intellectual Property of the corporation and do not infringe the intellectual property of others.</t>
  </si>
  <si>
    <t>Reliable solutions provide measurable service in terms of responsiveness, availability and dependability during normal operation, as well as in failure scenarios and in the event of a disaster.</t>
  </si>
  <si>
    <t>Scalable solutions support load increases via a proportional increase in resources in a cost-effective manner.</t>
  </si>
  <si>
    <t>Manageable solutions have hooks to monitor, measure, and modify operational behavior and adopt, operational. These systems know what is happening before customers do. Issues are resolved before they become issues.</t>
  </si>
  <si>
    <t>Simple solutions have clear responsibilities with little or no overlap. They tessellate. They are "as Simple as Possible and no simpler". They have proper Placement of Function, duplicate as little as possible based on organizational reality and follow well-defined patterns and blue-prints.</t>
  </si>
  <si>
    <t>Modular solutions employ Separation of Concerns. They divide labor among encapsulated components that are loosely-coupled via well-defined interfaces, entities, and data models. They do not share infrastructure.</t>
  </si>
  <si>
    <t>Maintainable solutions are easily supported and easily modified. They are able to be extended into adjacent functional areas with minimal surgery.</t>
  </si>
  <si>
    <t>Data (including, but not limited to business data, content, and operational data) is handled rigorously. Data items are mastered, and their transit through systems and way-points are carefully managed. Values, names, mnemonics, descriptors, classifiers, and other descriptors (Metadata) are handled with the utmost rigor.</t>
  </si>
  <si>
    <t>Global solutions have the ability to be easily localized for use in a specific geography, including, but not limited to: language, script, culture, currency, color conventions, holidays, and sort-order.</t>
  </si>
  <si>
    <t>• New business objectives:
Operable becomes Reliable and Performant
Sustainable becomes Fast to Market
• Standards principle deleted
• All principles renumbered.
• Profile mappings updated
• Principle and golden rule wordings changed per Ian's direction. Golden rule title and text are now identical.</t>
  </si>
  <si>
    <t>1.1</t>
  </si>
  <si>
    <t>1.1.3</t>
  </si>
  <si>
    <t>1.1.4</t>
  </si>
  <si>
    <t>1.6</t>
  </si>
  <si>
    <t>1.6.1</t>
  </si>
  <si>
    <t>1.7</t>
  </si>
  <si>
    <t>1.7.1</t>
  </si>
  <si>
    <t>1.7.2</t>
  </si>
  <si>
    <t>1.8</t>
  </si>
  <si>
    <t>1.8.1</t>
  </si>
  <si>
    <t>1.8.2</t>
  </si>
  <si>
    <t>1.8.3</t>
  </si>
  <si>
    <t>1.9</t>
  </si>
  <si>
    <t>1.9.1</t>
  </si>
  <si>
    <t>1.9.2</t>
  </si>
  <si>
    <t>1.10</t>
  </si>
  <si>
    <t>1.10.1</t>
  </si>
  <si>
    <t>1.11</t>
  </si>
  <si>
    <t>1.11.1</t>
  </si>
  <si>
    <t>1.11.2</t>
  </si>
  <si>
    <t>1.12</t>
  </si>
  <si>
    <t>1.12.1</t>
  </si>
  <si>
    <t>1.12.2</t>
  </si>
  <si>
    <t>1.12.3</t>
  </si>
  <si>
    <t>1.12.4</t>
  </si>
  <si>
    <t>1.13.1</t>
  </si>
  <si>
    <t>1.13.2</t>
  </si>
  <si>
    <t>1.13</t>
  </si>
  <si>
    <t>1.14</t>
  </si>
  <si>
    <t>1.14.1</t>
  </si>
  <si>
    <t>1.14.2</t>
  </si>
  <si>
    <t>1.14.3</t>
  </si>
  <si>
    <t>1.14.4</t>
  </si>
  <si>
    <t>1.14.5</t>
  </si>
  <si>
    <t>1.15</t>
  </si>
  <si>
    <t>1.15.1</t>
  </si>
  <si>
    <t>1.16</t>
  </si>
  <si>
    <t>1.16.1</t>
  </si>
  <si>
    <t>1.17</t>
  </si>
  <si>
    <t>1.17.1</t>
  </si>
  <si>
    <t>1.18</t>
  </si>
  <si>
    <t>1.18.1</t>
  </si>
  <si>
    <t>1.19</t>
  </si>
  <si>
    <t>1.19.1</t>
  </si>
  <si>
    <t>1.19.2</t>
  </si>
  <si>
    <t>1.19.3</t>
  </si>
  <si>
    <t>1.19.4</t>
  </si>
  <si>
    <t>2.1</t>
  </si>
  <si>
    <t>2.2</t>
  </si>
  <si>
    <t>2.3</t>
  </si>
  <si>
    <t>3.1.4</t>
  </si>
  <si>
    <t>4.1</t>
  </si>
  <si>
    <t>4.1.1</t>
  </si>
  <si>
    <t>4.1.2</t>
  </si>
  <si>
    <t>4.1.3</t>
  </si>
  <si>
    <t>4.1.4</t>
  </si>
  <si>
    <t>4.2</t>
  </si>
  <si>
    <t>4.2.1</t>
  </si>
  <si>
    <t>4.2.3</t>
  </si>
  <si>
    <t>5.3.2</t>
  </si>
  <si>
    <t>5.3.3</t>
  </si>
  <si>
    <t>5.4.2</t>
  </si>
  <si>
    <t>7.2</t>
  </si>
  <si>
    <t>7.2.4</t>
  </si>
  <si>
    <t>7.3</t>
  </si>
  <si>
    <t>7.3.1</t>
  </si>
  <si>
    <t>7.3.2</t>
  </si>
  <si>
    <t>7.3.3</t>
  </si>
  <si>
    <t>7.4</t>
  </si>
  <si>
    <t>7.4.1</t>
  </si>
  <si>
    <t>7.4.2</t>
  </si>
  <si>
    <t>7.5</t>
  </si>
  <si>
    <t>7.5.1</t>
  </si>
  <si>
    <t>7.5.2</t>
  </si>
  <si>
    <t>9.2.2</t>
  </si>
  <si>
    <t>9.2.3</t>
  </si>
  <si>
    <t>9.2.4</t>
  </si>
  <si>
    <t>9.2.5</t>
  </si>
  <si>
    <t>9.3.1</t>
  </si>
  <si>
    <t>9.3.2</t>
  </si>
  <si>
    <t>9.4.1</t>
  </si>
  <si>
    <t>9.4.2</t>
  </si>
  <si>
    <t>9.4.3</t>
  </si>
  <si>
    <t>9.5.1</t>
  </si>
  <si>
    <t>; 1. Secure; 2. Compliant</t>
  </si>
  <si>
    <t>Architecture Governance</t>
  </si>
  <si>
    <t>an asset having a user interface that is expected to be used by individuals who are employees or contractors</t>
  </si>
  <si>
    <t>System Asset Architecture Governance Scorecard</t>
  </si>
  <si>
    <t>Architecture Governance - Summary Score By Principle</t>
  </si>
  <si>
    <t xml:space="preserve">Company-owned source modules must contain an appropriate copyright notice, whether the source module was created by company employees, contractors, or external vendors.  This includes client side executable components, such as plug-ins, web parts, JavaScript, Flash, and Silverlight.  </t>
  </si>
  <si>
    <t xml:space="preserve">Documentation for any public API MUST include a copyright notice: </t>
  </si>
  <si>
    <t>Authentication for customer facing strategic applications and services must be via the strategic solution. Authentication for Internal / Enterprise applications and services must be via Active Directory (NOTE: Customer-facing applications MAY be non-authenticated.)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</si>
</sst>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409]d\-mmm\-yy;@"/>
    <numFmt numFmtId="165" formatCode="[$-409]d\ mmm\ yyyy;@"/>
    <numFmt numFmtId="166" formatCode="0.0"/>
    <numFmt numFmtId="167" formatCode="yyyy\-mm\-dd"/>
  </numFmts>
  <fonts count="68" x14ac:knownFonts="1">
    <font>
      <sz val="10"/>
      <name val="Arial"/>
    </font>
    <font>
      <sz val="11"/>
      <color theme="1"/>
      <name val="Calibri"/>
      <family val="2"/>
      <scheme val="minor"/>
    </font>
    <font>
      <sz val="8"/>
      <name val="Arial"/>
      <family val="2"/>
    </font>
    <font>
      <b/>
      <sz val="14"/>
      <color indexed="9"/>
      <name val="Arial"/>
      <family val="2"/>
    </font>
    <font>
      <b/>
      <sz val="10"/>
      <name val="Arial"/>
      <family val="2"/>
    </font>
    <font>
      <sz val="10"/>
      <name val="Arial"/>
      <family val="2"/>
    </font>
    <font>
      <sz val="10"/>
      <color indexed="8"/>
      <name val="Arial"/>
      <family val="2"/>
    </font>
    <font>
      <sz val="8"/>
      <name val="Arial"/>
      <family val="2"/>
    </font>
    <font>
      <b/>
      <i/>
      <sz val="14"/>
      <color indexed="31"/>
      <name val="Arial"/>
      <family val="2"/>
    </font>
    <font>
      <b/>
      <sz val="16"/>
      <name val="Arial"/>
      <family val="2"/>
    </font>
    <font>
      <sz val="10"/>
      <color indexed="8"/>
      <name val="Arial"/>
      <family val="2"/>
    </font>
    <font>
      <sz val="10"/>
      <name val="Arial"/>
      <family val="2"/>
    </font>
    <font>
      <sz val="9"/>
      <name val="Arial"/>
      <family val="2"/>
    </font>
    <font>
      <sz val="11"/>
      <name val="Arial"/>
      <family val="2"/>
    </font>
    <font>
      <b/>
      <i/>
      <sz val="14"/>
      <color indexed="56"/>
      <name val="Arial"/>
      <family val="2"/>
    </font>
    <font>
      <b/>
      <sz val="10"/>
      <color indexed="56"/>
      <name val="Arial"/>
      <family val="2"/>
    </font>
    <font>
      <b/>
      <sz val="10"/>
      <color indexed="8"/>
      <name val="Arial"/>
      <family val="2"/>
    </font>
    <font>
      <sz val="9"/>
      <color indexed="9"/>
      <name val="Arial"/>
      <family val="2"/>
    </font>
    <font>
      <b/>
      <sz val="14"/>
      <color indexed="9"/>
      <name val="Arial"/>
      <family val="2"/>
    </font>
    <font>
      <sz val="10"/>
      <color indexed="9"/>
      <name val="Arial"/>
      <family val="2"/>
    </font>
    <font>
      <sz val="8"/>
      <color indexed="17"/>
      <name val="Arial"/>
      <family val="2"/>
    </font>
    <font>
      <b/>
      <sz val="9"/>
      <color indexed="9"/>
      <name val="Arial"/>
      <family val="2"/>
    </font>
    <font>
      <b/>
      <sz val="18"/>
      <color indexed="56"/>
      <name val="Arial"/>
      <family val="2"/>
    </font>
    <font>
      <sz val="10"/>
      <color indexed="56"/>
      <name val="Arial"/>
      <family val="2"/>
    </font>
    <font>
      <sz val="14"/>
      <name val="Arial"/>
      <family val="2"/>
    </font>
    <font>
      <b/>
      <u/>
      <sz val="10"/>
      <name val="Arial"/>
      <family val="2"/>
    </font>
    <font>
      <b/>
      <i/>
      <sz val="9"/>
      <name val="Arial"/>
      <family val="2"/>
    </font>
    <font>
      <b/>
      <sz val="12"/>
      <name val="Arial"/>
      <family val="2"/>
    </font>
    <font>
      <sz val="12"/>
      <name val="Arial"/>
      <family val="2"/>
    </font>
    <font>
      <b/>
      <sz val="10"/>
      <name val="Calibri"/>
      <family val="2"/>
    </font>
    <font>
      <b/>
      <i/>
      <sz val="14"/>
      <name val="Arial"/>
      <family val="2"/>
    </font>
    <font>
      <sz val="11"/>
      <color rgb="FF006100"/>
      <name val="Calibri"/>
      <family val="2"/>
      <scheme val="minor"/>
    </font>
    <font>
      <u/>
      <sz val="10"/>
      <color theme="10"/>
      <name val="Arial"/>
      <family val="2"/>
    </font>
    <font>
      <sz val="10"/>
      <color theme="1"/>
      <name val="Arial"/>
      <family val="2"/>
    </font>
    <font>
      <b/>
      <sz val="10"/>
      <color theme="1"/>
      <name val="Arial"/>
      <family val="2"/>
    </font>
    <font>
      <b/>
      <sz val="12"/>
      <color theme="1"/>
      <name val="Arial"/>
      <family val="2"/>
    </font>
    <font>
      <sz val="10"/>
      <color rgb="FF000000"/>
      <name val="Arial"/>
      <family val="2"/>
    </font>
    <font>
      <b/>
      <sz val="12"/>
      <color rgb="FF000000"/>
      <name val="Calibri"/>
      <family val="2"/>
    </font>
    <font>
      <b/>
      <sz val="10"/>
      <color rgb="FF000000"/>
      <name val="Arial"/>
      <family val="2"/>
    </font>
    <font>
      <sz val="12"/>
      <color rgb="FF000000"/>
      <name val="Arial"/>
      <family val="2"/>
    </font>
    <font>
      <sz val="9"/>
      <color theme="1"/>
      <name val="Arial"/>
      <family val="2"/>
    </font>
    <font>
      <b/>
      <i/>
      <sz val="11"/>
      <color theme="1"/>
      <name val="Calibri"/>
      <family val="2"/>
      <scheme val="minor"/>
    </font>
    <font>
      <sz val="8"/>
      <color theme="3" tint="-0.249977111117893"/>
      <name val="Arial"/>
      <family val="2"/>
    </font>
    <font>
      <sz val="10"/>
      <color theme="0"/>
      <name val="Arial"/>
      <family val="2"/>
    </font>
    <font>
      <b/>
      <sz val="18"/>
      <color theme="0"/>
      <name val="Arial"/>
      <family val="2"/>
    </font>
    <font>
      <b/>
      <sz val="10"/>
      <color theme="0"/>
      <name val="Arial"/>
      <family val="2"/>
    </font>
    <font>
      <sz val="9"/>
      <color indexed="81"/>
      <name val="Tahoma"/>
      <family val="2"/>
    </font>
    <font>
      <b/>
      <sz val="9"/>
      <color indexed="81"/>
      <name val="Tahoma"/>
      <family val="2"/>
    </font>
    <font>
      <b/>
      <sz val="11"/>
      <name val="Calibri"/>
      <family val="2"/>
      <scheme val="minor"/>
    </font>
    <font>
      <b/>
      <sz val="16"/>
      <name val="Calibri"/>
      <family val="2"/>
    </font>
    <font>
      <sz val="10"/>
      <name val="Calibri"/>
      <family val="2"/>
      <scheme val="minor"/>
    </font>
    <font>
      <b/>
      <sz val="12"/>
      <color theme="1"/>
      <name val="Calibri"/>
      <family val="2"/>
      <scheme val="minor"/>
    </font>
    <font>
      <sz val="12"/>
      <name val="Calibri"/>
      <family val="2"/>
      <scheme val="minor"/>
    </font>
    <font>
      <b/>
      <sz val="12"/>
      <name val="Calibri"/>
      <family val="2"/>
      <scheme val="minor"/>
    </font>
    <font>
      <b/>
      <i/>
      <sz val="11"/>
      <color indexed="56"/>
      <name val="Arial"/>
      <family val="2"/>
    </font>
    <font>
      <b/>
      <sz val="12"/>
      <color indexed="56"/>
      <name val="Arial"/>
      <family val="2"/>
    </font>
    <font>
      <b/>
      <i/>
      <sz val="16"/>
      <color indexed="56"/>
      <name val="Arial"/>
      <family val="2"/>
    </font>
    <font>
      <b/>
      <i/>
      <sz val="10"/>
      <color theme="1"/>
      <name val="Arial"/>
      <family val="2"/>
    </font>
    <font>
      <sz val="10"/>
      <color rgb="FFFF0000"/>
      <name val="Arial"/>
      <family val="2"/>
    </font>
    <font>
      <b/>
      <sz val="16"/>
      <color indexed="56"/>
      <name val="Arial"/>
      <family val="2"/>
    </font>
    <font>
      <sz val="10"/>
      <color rgb="FF0070C0"/>
      <name val="Arial"/>
      <family val="2"/>
    </font>
    <font>
      <sz val="11"/>
      <color rgb="FF0033CC"/>
      <name val="Arial"/>
      <family val="2"/>
    </font>
    <font>
      <b/>
      <sz val="11"/>
      <color rgb="FF0033CC"/>
      <name val="Arial"/>
      <family val="2"/>
    </font>
    <font>
      <b/>
      <sz val="10"/>
      <color rgb="FFFF0000"/>
      <name val="Arial"/>
      <family val="2"/>
    </font>
    <font>
      <b/>
      <i/>
      <sz val="10"/>
      <name val="Arial"/>
      <family val="2"/>
    </font>
    <font>
      <b/>
      <sz val="11"/>
      <name val="Arial"/>
      <family val="2"/>
    </font>
    <font>
      <sz val="9"/>
      <name val="Lucida Console"/>
      <family val="3"/>
    </font>
    <font>
      <sz val="8"/>
      <color theme="1"/>
      <name val="Arial"/>
      <family val="2"/>
    </font>
  </fonts>
  <fills count="36">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indexed="22"/>
        <bgColor indexed="64"/>
      </patternFill>
    </fill>
    <fill>
      <patternFill patternType="solid">
        <fgColor indexed="22"/>
        <bgColor indexed="22"/>
      </patternFill>
    </fill>
    <fill>
      <patternFill patternType="solid">
        <fgColor indexed="62"/>
        <bgColor indexed="64"/>
      </patternFill>
    </fill>
    <fill>
      <patternFill patternType="solid">
        <fgColor indexed="44"/>
        <bgColor indexed="64"/>
      </patternFill>
    </fill>
    <fill>
      <patternFill patternType="solid">
        <fgColor indexed="42"/>
        <bgColor indexed="64"/>
      </patternFill>
    </fill>
    <fill>
      <patternFill patternType="solid">
        <fgColor indexed="43"/>
        <bgColor indexed="64"/>
      </patternFill>
    </fill>
    <fill>
      <patternFill patternType="solid">
        <fgColor indexed="26"/>
        <bgColor indexed="64"/>
      </patternFill>
    </fill>
    <fill>
      <patternFill patternType="solid">
        <fgColor rgb="FFC6EFCE"/>
      </patternFill>
    </fill>
    <fill>
      <patternFill patternType="solid">
        <fgColor theme="7" tint="0.59999389629810485"/>
        <bgColor indexed="64"/>
      </patternFill>
    </fill>
    <fill>
      <patternFill patternType="solid">
        <fgColor rgb="FFFFC000"/>
        <bgColor indexed="64"/>
      </patternFill>
    </fill>
    <fill>
      <patternFill patternType="solid">
        <fgColor theme="0" tint="-0.24994659260841701"/>
        <bgColor indexed="64"/>
      </patternFill>
    </fill>
    <fill>
      <patternFill patternType="solid">
        <fgColor theme="0"/>
        <bgColor indexed="64"/>
      </patternFill>
    </fill>
    <fill>
      <patternFill patternType="solid">
        <fgColor rgb="FF00FF00"/>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5" tint="0.59999389629810485"/>
        <bgColor indexed="64"/>
      </patternFill>
    </fill>
    <fill>
      <patternFill patternType="solid">
        <fgColor theme="0" tint="-0.14996795556505021"/>
        <bgColor indexed="64"/>
      </patternFill>
    </fill>
    <fill>
      <patternFill patternType="solid">
        <fgColor rgb="FFCCFFCC"/>
        <bgColor indexed="64"/>
      </patternFill>
    </fill>
    <fill>
      <patternFill patternType="solid">
        <fgColor theme="4" tint="0.79998168889431442"/>
        <bgColor indexed="64"/>
      </patternFill>
    </fill>
    <fill>
      <patternFill patternType="solid">
        <fgColor rgb="FFFFC0CB"/>
        <bgColor indexed="64"/>
      </patternFill>
    </fill>
    <fill>
      <patternFill patternType="solid">
        <fgColor rgb="FFFFFFCC"/>
        <bgColor indexed="64"/>
      </patternFill>
    </fill>
    <fill>
      <patternFill patternType="solid">
        <fgColor rgb="FF99CCFF"/>
        <bgColor indexed="64"/>
      </patternFill>
    </fill>
    <fill>
      <patternFill patternType="solid">
        <fgColor theme="0" tint="-0.249977111117893"/>
        <bgColor indexed="64"/>
      </patternFill>
    </fill>
    <fill>
      <patternFill patternType="solid">
        <fgColor theme="3" tint="0.39997558519241921"/>
        <bgColor indexed="64"/>
      </patternFill>
    </fill>
    <fill>
      <patternFill patternType="solid">
        <fgColor theme="0" tint="-0.14999847407452621"/>
        <bgColor indexed="64"/>
      </patternFill>
    </fill>
    <fill>
      <patternFill patternType="solid">
        <fgColor rgb="FF000066"/>
        <bgColor indexed="64"/>
      </patternFill>
    </fill>
    <fill>
      <patternFill patternType="solid">
        <fgColor theme="3" tint="-0.249977111117893"/>
        <bgColor indexed="64"/>
      </patternFill>
    </fill>
    <fill>
      <patternFill patternType="solid">
        <fgColor rgb="FFE0DFDF"/>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theme="7" tint="0.39997558519241921"/>
        <bgColor indexed="64"/>
      </patternFill>
    </fill>
  </fills>
  <borders count="64">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right/>
      <top/>
      <bottom style="medium">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0"/>
      </right>
      <top style="thin">
        <color indexed="64"/>
      </top>
      <bottom style="thin">
        <color indexed="64"/>
      </bottom>
      <diagonal/>
    </border>
    <border>
      <left style="thin">
        <color indexed="0"/>
      </left>
      <right style="thin">
        <color indexed="0"/>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diagonal/>
    </border>
    <border>
      <left style="thin">
        <color indexed="0"/>
      </left>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medium">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style="thin">
        <color indexed="0"/>
      </right>
      <top style="thin">
        <color indexed="64"/>
      </top>
      <bottom style="thin">
        <color indexed="64"/>
      </bottom>
      <diagonal/>
    </border>
    <border>
      <left style="thin">
        <color indexed="64"/>
      </left>
      <right/>
      <top/>
      <bottom style="thin">
        <color indexed="64"/>
      </bottom>
      <diagonal/>
    </border>
    <border>
      <left/>
      <right/>
      <top style="thin">
        <color indexed="64"/>
      </top>
      <bottom/>
      <diagonal/>
    </border>
    <border>
      <left style="medium">
        <color indexed="64"/>
      </left>
      <right/>
      <top/>
      <bottom/>
      <diagonal/>
    </border>
    <border>
      <left style="medium">
        <color indexed="64"/>
      </left>
      <right/>
      <top/>
      <bottom style="thin">
        <color indexed="64"/>
      </bottom>
      <diagonal/>
    </border>
    <border>
      <left style="thin">
        <color indexed="64"/>
      </left>
      <right style="thin">
        <color indexed="64"/>
      </right>
      <top/>
      <bottom/>
      <diagonal/>
    </border>
    <border>
      <left/>
      <right style="medium">
        <color indexed="64"/>
      </right>
      <top style="medium">
        <color indexed="64"/>
      </top>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thin">
        <color indexed="64"/>
      </right>
      <top style="thick">
        <color rgb="FFFF0000"/>
      </top>
      <bottom style="thin">
        <color indexed="64"/>
      </bottom>
      <diagonal/>
    </border>
    <border>
      <left style="thin">
        <color indexed="64"/>
      </left>
      <right style="medium">
        <color indexed="64"/>
      </right>
      <top style="thick">
        <color rgb="FFFF0000"/>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auto="1"/>
      </right>
      <top style="thin">
        <color auto="1"/>
      </top>
      <bottom style="thin">
        <color auto="1"/>
      </bottom>
      <diagonal/>
    </border>
    <border>
      <left style="thin">
        <color indexed="64"/>
      </left>
      <right style="medium">
        <color indexed="64"/>
      </right>
      <top/>
      <bottom style="thin">
        <color indexed="64"/>
      </bottom>
      <diagonal/>
    </border>
    <border>
      <left style="thick">
        <color indexed="64"/>
      </left>
      <right style="thin">
        <color indexed="64"/>
      </right>
      <top style="thin">
        <color indexed="64"/>
      </top>
      <bottom/>
      <diagonal/>
    </border>
  </borders>
  <cellStyleXfs count="4">
    <xf numFmtId="0" fontId="0" fillId="0" borderId="0"/>
    <xf numFmtId="0" fontId="31" fillId="11" borderId="0" applyNumberFormat="0" applyBorder="0" applyAlignment="0" applyProtection="0"/>
    <xf numFmtId="0" fontId="32" fillId="0" borderId="0" applyNumberFormat="0" applyFill="0" applyBorder="0" applyAlignment="0" applyProtection="0">
      <alignment vertical="top"/>
      <protection locked="0"/>
    </xf>
    <xf numFmtId="0" fontId="1" fillId="0" borderId="0"/>
  </cellStyleXfs>
  <cellXfs count="677">
    <xf numFmtId="0" fontId="0" fillId="0" borderId="0" xfId="0"/>
    <xf numFmtId="0" fontId="0" fillId="0" borderId="0" xfId="0" applyAlignment="1">
      <alignment wrapText="1"/>
    </xf>
    <xf numFmtId="0" fontId="0" fillId="2" borderId="0" xfId="0" applyFill="1" applyAlignment="1">
      <alignment vertical="top"/>
    </xf>
    <xf numFmtId="0" fontId="0" fillId="0" borderId="0" xfId="0" applyAlignment="1">
      <alignment horizontal="left"/>
    </xf>
    <xf numFmtId="0" fontId="0" fillId="0" borderId="0" xfId="0" applyFill="1"/>
    <xf numFmtId="0" fontId="5" fillId="2" borderId="1" xfId="0" applyFont="1" applyFill="1" applyBorder="1" applyAlignment="1">
      <alignment horizontal="left" vertical="top" wrapText="1"/>
    </xf>
    <xf numFmtId="0" fontId="0" fillId="0" borderId="0" xfId="0" applyAlignment="1">
      <alignment horizontal="left" vertical="top"/>
    </xf>
    <xf numFmtId="0" fontId="0" fillId="0" borderId="1" xfId="0" applyBorder="1" applyAlignment="1">
      <alignment horizontal="left" vertical="top"/>
    </xf>
    <xf numFmtId="0" fontId="4" fillId="4" borderId="2" xfId="0" applyFont="1" applyFill="1" applyBorder="1" applyAlignment="1">
      <alignment horizontal="left" vertical="top" wrapText="1"/>
    </xf>
    <xf numFmtId="0" fontId="4" fillId="4" borderId="3" xfId="0" applyFont="1" applyFill="1" applyBorder="1" applyAlignment="1">
      <alignment horizontal="left" vertical="top" wrapText="1"/>
    </xf>
    <xf numFmtId="0" fontId="4" fillId="5" borderId="2" xfId="0" applyFont="1" applyFill="1" applyBorder="1" applyAlignment="1">
      <alignment horizontal="left" vertical="top" wrapText="1"/>
    </xf>
    <xf numFmtId="0" fontId="4" fillId="5" borderId="3" xfId="0" applyFont="1" applyFill="1" applyBorder="1" applyAlignment="1">
      <alignment horizontal="left" vertical="top" wrapText="1"/>
    </xf>
    <xf numFmtId="0" fontId="0" fillId="0" borderId="0" xfId="0" applyAlignment="1">
      <alignment vertical="top"/>
    </xf>
    <xf numFmtId="0" fontId="0" fillId="2" borderId="0" xfId="0" applyFill="1" applyAlignment="1">
      <alignment vertical="top" wrapText="1"/>
    </xf>
    <xf numFmtId="0" fontId="3" fillId="0" borderId="0" xfId="0" applyFont="1" applyFill="1" applyBorder="1"/>
    <xf numFmtId="0" fontId="4" fillId="4" borderId="3" xfId="0" applyFont="1" applyFill="1" applyBorder="1" applyAlignment="1">
      <alignment vertical="top" wrapText="1"/>
    </xf>
    <xf numFmtId="0" fontId="8" fillId="0" borderId="0" xfId="0" applyFont="1" applyFill="1" applyAlignment="1">
      <alignment horizontal="left"/>
    </xf>
    <xf numFmtId="0" fontId="8" fillId="0" borderId="0" xfId="0" applyFont="1" applyFill="1"/>
    <xf numFmtId="0" fontId="4" fillId="2" borderId="0" xfId="0" applyFont="1" applyFill="1" applyAlignment="1">
      <alignment vertical="top" wrapText="1"/>
    </xf>
    <xf numFmtId="0" fontId="4" fillId="2" borderId="2" xfId="0" applyFont="1" applyFill="1" applyBorder="1" applyAlignment="1">
      <alignment horizontal="left" vertical="top" wrapText="1"/>
    </xf>
    <xf numFmtId="0" fontId="4" fillId="2" borderId="4" xfId="0" applyFont="1" applyFill="1" applyBorder="1" applyAlignment="1">
      <alignment horizontal="left" vertical="top" wrapText="1"/>
    </xf>
    <xf numFmtId="0" fontId="4" fillId="4" borderId="2" xfId="0" applyFont="1" applyFill="1" applyBorder="1" applyAlignment="1">
      <alignment vertical="top"/>
    </xf>
    <xf numFmtId="0" fontId="10" fillId="2" borderId="4" xfId="0" applyFont="1" applyFill="1" applyBorder="1" applyAlignment="1">
      <alignment horizontal="center" vertical="top" wrapText="1"/>
    </xf>
    <xf numFmtId="49" fontId="10" fillId="2" borderId="4" xfId="0" applyNumberFormat="1" applyFont="1" applyFill="1" applyBorder="1" applyAlignment="1">
      <alignment horizontal="center" vertical="top" wrapText="1"/>
    </xf>
    <xf numFmtId="0" fontId="0" fillId="0" borderId="0" xfId="0" applyBorder="1" applyAlignment="1">
      <alignment wrapText="1"/>
    </xf>
    <xf numFmtId="0" fontId="4" fillId="5" borderId="2" xfId="0" applyFont="1" applyFill="1" applyBorder="1" applyAlignment="1">
      <alignment horizontal="left" vertical="center" wrapText="1"/>
    </xf>
    <xf numFmtId="0" fontId="4" fillId="5" borderId="3" xfId="0" applyFont="1" applyFill="1" applyBorder="1" applyAlignment="1">
      <alignment horizontal="left" vertical="center" wrapText="1"/>
    </xf>
    <xf numFmtId="0" fontId="5" fillId="2" borderId="0" xfId="0" applyFont="1" applyFill="1" applyAlignment="1">
      <alignment vertical="top" wrapText="1"/>
    </xf>
    <xf numFmtId="0" fontId="14" fillId="0" borderId="0" xfId="0" applyFont="1" applyFill="1" applyAlignment="1">
      <alignment horizontal="right"/>
    </xf>
    <xf numFmtId="0" fontId="14" fillId="0" borderId="0" xfId="0" applyFont="1" applyFill="1" applyBorder="1"/>
    <xf numFmtId="0" fontId="13" fillId="0" borderId="0" xfId="0" applyFont="1" applyFill="1"/>
    <xf numFmtId="0" fontId="15" fillId="0" borderId="0" xfId="0" applyFont="1" applyFill="1" applyAlignment="1"/>
    <xf numFmtId="0" fontId="5" fillId="0" borderId="1" xfId="0" applyFont="1" applyFill="1" applyBorder="1" applyAlignment="1">
      <alignment vertical="top" wrapText="1"/>
    </xf>
    <xf numFmtId="0" fontId="0" fillId="0" borderId="1" xfId="0" applyBorder="1" applyAlignment="1">
      <alignment vertical="top" wrapText="1"/>
    </xf>
    <xf numFmtId="0" fontId="0" fillId="0" borderId="0" xfId="0" applyFill="1" applyAlignment="1">
      <alignment vertical="top"/>
    </xf>
    <xf numFmtId="164" fontId="4" fillId="2" borderId="5" xfId="0" applyNumberFormat="1" applyFont="1" applyFill="1" applyBorder="1" applyAlignment="1">
      <alignment horizontal="right" vertical="top" wrapText="1"/>
    </xf>
    <xf numFmtId="0" fontId="4" fillId="2" borderId="10" xfId="0" applyFont="1" applyFill="1" applyBorder="1" applyAlignment="1">
      <alignment horizontal="left" vertical="top" wrapText="1"/>
    </xf>
    <xf numFmtId="164" fontId="4" fillId="2" borderId="11" xfId="0" applyNumberFormat="1" applyFont="1" applyFill="1" applyBorder="1" applyAlignment="1">
      <alignment horizontal="right" vertical="top" wrapText="1"/>
    </xf>
    <xf numFmtId="0" fontId="5" fillId="0" borderId="1" xfId="0" applyFont="1" applyBorder="1" applyAlignment="1">
      <alignment vertical="top" wrapText="1"/>
    </xf>
    <xf numFmtId="0" fontId="5" fillId="2" borderId="4" xfId="0" applyFont="1" applyFill="1" applyBorder="1" applyAlignment="1">
      <alignment horizontal="center" vertical="top" wrapText="1"/>
    </xf>
    <xf numFmtId="0" fontId="2" fillId="0" borderId="0" xfId="0" applyFont="1" applyFill="1" applyBorder="1" applyAlignment="1">
      <alignment horizontal="left" vertical="top" wrapText="1"/>
    </xf>
    <xf numFmtId="0" fontId="0" fillId="0" borderId="0" xfId="0" applyFill="1" applyBorder="1"/>
    <xf numFmtId="0" fontId="12" fillId="0" borderId="0" xfId="0" applyFont="1" applyFill="1" applyBorder="1" applyAlignment="1">
      <alignment horizontal="left" vertical="top" wrapText="1"/>
    </xf>
    <xf numFmtId="0" fontId="5" fillId="0" borderId="1" xfId="0" applyFont="1" applyBorder="1" applyAlignment="1">
      <alignment vertical="top"/>
    </xf>
    <xf numFmtId="0" fontId="4" fillId="5" borderId="3" xfId="0" applyFont="1" applyFill="1" applyBorder="1" applyAlignment="1">
      <alignment horizontal="center" vertical="center" wrapText="1"/>
    </xf>
    <xf numFmtId="0" fontId="5" fillId="2" borderId="15" xfId="0" applyFont="1" applyFill="1" applyBorder="1" applyAlignment="1">
      <alignment horizontal="center" vertical="top" wrapText="1"/>
    </xf>
    <xf numFmtId="0" fontId="0" fillId="0" borderId="1" xfId="0" applyBorder="1" applyAlignment="1">
      <alignment horizontal="left" vertical="top" wrapText="1"/>
    </xf>
    <xf numFmtId="0" fontId="0" fillId="0" borderId="1" xfId="0" applyBorder="1" applyAlignment="1">
      <alignment vertical="top"/>
    </xf>
    <xf numFmtId="0" fontId="0" fillId="0" borderId="0" xfId="0" applyBorder="1" applyAlignment="1">
      <alignment vertical="top"/>
    </xf>
    <xf numFmtId="0" fontId="11" fillId="2" borderId="4" xfId="0" applyFont="1" applyFill="1" applyBorder="1" applyAlignment="1">
      <alignment horizontal="center" vertical="top" wrapText="1"/>
    </xf>
    <xf numFmtId="0" fontId="5" fillId="0" borderId="1" xfId="0" applyFont="1" applyBorder="1" applyAlignment="1">
      <alignment horizontal="left" vertical="top" wrapText="1"/>
    </xf>
    <xf numFmtId="49" fontId="0" fillId="0" borderId="0" xfId="0" applyNumberFormat="1" applyAlignment="1">
      <alignment vertical="top"/>
    </xf>
    <xf numFmtId="49" fontId="4" fillId="4" borderId="3" xfId="0" applyNumberFormat="1" applyFont="1" applyFill="1" applyBorder="1" applyAlignment="1">
      <alignment vertical="top" wrapText="1"/>
    </xf>
    <xf numFmtId="0" fontId="4" fillId="5" borderId="14" xfId="0" applyFont="1" applyFill="1" applyBorder="1" applyAlignment="1">
      <alignment horizontal="center" vertical="center" wrapText="1"/>
    </xf>
    <xf numFmtId="49" fontId="0" fillId="0" borderId="1" xfId="0" applyNumberFormat="1" applyBorder="1" applyAlignment="1">
      <alignment vertical="top"/>
    </xf>
    <xf numFmtId="0" fontId="24" fillId="12" borderId="1" xfId="0" applyFont="1" applyFill="1" applyBorder="1" applyAlignment="1">
      <alignment horizontal="center"/>
    </xf>
    <xf numFmtId="0" fontId="0" fillId="0" borderId="1" xfId="0" applyFill="1" applyBorder="1" applyAlignment="1">
      <alignment horizontal="left" vertical="top" wrapText="1"/>
    </xf>
    <xf numFmtId="0" fontId="5" fillId="0" borderId="0" xfId="0" applyFont="1" applyAlignment="1">
      <alignment wrapText="1"/>
    </xf>
    <xf numFmtId="0" fontId="0" fillId="0" borderId="21" xfId="0" applyBorder="1"/>
    <xf numFmtId="0" fontId="5" fillId="0" borderId="0" xfId="0" applyFont="1" applyBorder="1" applyAlignment="1">
      <alignment wrapText="1"/>
    </xf>
    <xf numFmtId="0" fontId="24" fillId="12" borderId="1" xfId="0" applyFont="1" applyFill="1" applyBorder="1" applyAlignment="1">
      <alignment horizontal="center" vertical="top"/>
    </xf>
    <xf numFmtId="0" fontId="5" fillId="0" borderId="1" xfId="0" applyFont="1" applyFill="1" applyBorder="1" applyAlignment="1">
      <alignment horizontal="left" vertical="top" wrapText="1"/>
    </xf>
    <xf numFmtId="0" fontId="0" fillId="0" borderId="1" xfId="0" applyBorder="1" applyAlignment="1">
      <alignment horizontal="center" vertical="center"/>
    </xf>
    <xf numFmtId="0" fontId="4" fillId="5" borderId="1" xfId="0" applyFont="1" applyFill="1" applyBorder="1" applyAlignment="1">
      <alignment horizontal="center" vertical="center" wrapText="1"/>
    </xf>
    <xf numFmtId="0" fontId="5" fillId="2" borderId="1" xfId="0" applyFont="1" applyFill="1" applyBorder="1" applyAlignment="1">
      <alignment horizontal="center" vertical="center" wrapText="1"/>
    </xf>
    <xf numFmtId="0" fontId="4" fillId="5" borderId="1" xfId="0" applyFont="1" applyFill="1" applyBorder="1" applyAlignment="1">
      <alignment horizontal="left" vertical="center" wrapText="1"/>
    </xf>
    <xf numFmtId="49" fontId="0" fillId="0" borderId="1" xfId="0" applyNumberFormat="1" applyBorder="1" applyAlignment="1">
      <alignment horizontal="left" vertical="top" wrapText="1"/>
    </xf>
    <xf numFmtId="49" fontId="5" fillId="0" borderId="1" xfId="0" applyNumberFormat="1" applyFont="1" applyBorder="1" applyAlignment="1">
      <alignment horizontal="left" vertical="top" wrapText="1"/>
    </xf>
    <xf numFmtId="49" fontId="0" fillId="0" borderId="1" xfId="0" applyNumberFormat="1" applyFill="1" applyBorder="1" applyAlignment="1">
      <alignment horizontal="left" vertical="top" wrapText="1"/>
    </xf>
    <xf numFmtId="49" fontId="5" fillId="0" borderId="1" xfId="0" applyNumberFormat="1" applyFont="1" applyFill="1" applyBorder="1" applyAlignment="1">
      <alignment horizontal="left" vertical="top" wrapText="1"/>
    </xf>
    <xf numFmtId="0" fontId="5" fillId="0" borderId="1" xfId="0" applyFont="1" applyBorder="1" applyAlignment="1">
      <alignment wrapText="1"/>
    </xf>
    <xf numFmtId="0" fontId="28" fillId="0" borderId="0" xfId="0" applyFont="1" applyAlignment="1">
      <alignment horizontal="center" vertical="center"/>
    </xf>
    <xf numFmtId="49" fontId="5" fillId="0" borderId="1" xfId="0" applyNumberFormat="1" applyFont="1" applyBorder="1" applyAlignment="1">
      <alignment vertical="top"/>
    </xf>
    <xf numFmtId="0" fontId="32" fillId="0" borderId="1" xfId="2" applyBorder="1" applyAlignment="1" applyProtection="1">
      <alignment wrapText="1"/>
    </xf>
    <xf numFmtId="0" fontId="0" fillId="0" borderId="1" xfId="0" applyFont="1" applyFill="1" applyBorder="1" applyAlignment="1">
      <alignment horizontal="left" vertical="top" wrapText="1"/>
    </xf>
    <xf numFmtId="0" fontId="0" fillId="0" borderId="0" xfId="0" applyAlignment="1">
      <alignment horizontal="center" vertical="center"/>
    </xf>
    <xf numFmtId="0" fontId="33" fillId="0" borderId="0" xfId="0" applyFont="1" applyAlignment="1">
      <alignment horizontal="center" vertical="center"/>
    </xf>
    <xf numFmtId="0" fontId="34" fillId="5" borderId="14" xfId="0" applyFont="1" applyFill="1" applyBorder="1" applyAlignment="1">
      <alignment horizontal="center" vertical="center" wrapText="1"/>
    </xf>
    <xf numFmtId="0" fontId="0" fillId="0" borderId="0" xfId="0" applyBorder="1" applyAlignment="1">
      <alignment horizontal="center" vertical="center"/>
    </xf>
    <xf numFmtId="0" fontId="0" fillId="0" borderId="0" xfId="0" applyBorder="1" applyAlignment="1">
      <alignment vertical="top" wrapText="1"/>
    </xf>
    <xf numFmtId="0" fontId="5" fillId="0" borderId="1" xfId="0" applyFont="1" applyFill="1" applyBorder="1" applyAlignment="1">
      <alignment vertical="top"/>
    </xf>
    <xf numFmtId="0" fontId="29" fillId="16" borderId="0" xfId="0" applyFont="1" applyFill="1" applyAlignment="1">
      <alignment horizontal="center" vertical="center" wrapText="1"/>
    </xf>
    <xf numFmtId="0" fontId="4" fillId="17" borderId="0" xfId="0" applyFont="1" applyFill="1" applyAlignment="1">
      <alignment horizontal="center" vertical="center" wrapText="1"/>
    </xf>
    <xf numFmtId="0" fontId="4" fillId="19" borderId="0" xfId="0" applyFont="1" applyFill="1" applyAlignment="1">
      <alignment horizontal="center" vertical="center" wrapText="1"/>
    </xf>
    <xf numFmtId="49" fontId="0" fillId="0" borderId="1" xfId="0" applyNumberFormat="1" applyBorder="1" applyAlignment="1">
      <alignment horizontal="left" vertical="top"/>
    </xf>
    <xf numFmtId="0" fontId="5" fillId="2" borderId="0" xfId="0" applyFont="1" applyFill="1" applyAlignment="1">
      <alignment horizontal="right" vertical="top" wrapText="1"/>
    </xf>
    <xf numFmtId="0" fontId="4" fillId="5" borderId="14" xfId="0" applyFont="1" applyFill="1" applyBorder="1" applyAlignment="1">
      <alignment horizontal="left" vertical="top" wrapText="1"/>
    </xf>
    <xf numFmtId="0" fontId="0" fillId="0" borderId="0" xfId="0" applyAlignment="1">
      <alignment horizontal="left" vertical="top" wrapText="1"/>
    </xf>
    <xf numFmtId="0" fontId="4" fillId="5" borderId="9" xfId="0" applyFont="1" applyFill="1" applyBorder="1" applyAlignment="1">
      <alignment horizontal="left" vertical="top" wrapText="1"/>
    </xf>
    <xf numFmtId="0" fontId="4" fillId="4" borderId="9" xfId="0" applyFont="1" applyFill="1" applyBorder="1" applyAlignment="1">
      <alignment horizontal="left" vertical="top" wrapText="1"/>
    </xf>
    <xf numFmtId="0" fontId="32" fillId="0" borderId="0" xfId="2" applyAlignment="1" applyProtection="1"/>
    <xf numFmtId="0" fontId="4" fillId="21" borderId="1" xfId="0" applyFont="1" applyFill="1" applyBorder="1" applyAlignment="1">
      <alignment horizontal="center" vertical="center"/>
    </xf>
    <xf numFmtId="0" fontId="32" fillId="0" borderId="0" xfId="2" applyAlignment="1" applyProtection="1">
      <alignment vertical="center"/>
    </xf>
    <xf numFmtId="49" fontId="24" fillId="12" borderId="1" xfId="0" applyNumberFormat="1" applyFont="1" applyFill="1" applyBorder="1" applyAlignment="1">
      <alignment horizontal="center" vertical="top"/>
    </xf>
    <xf numFmtId="0" fontId="12" fillId="0" borderId="1" xfId="0" applyFont="1" applyBorder="1" applyAlignment="1">
      <alignment horizontal="left" wrapText="1"/>
    </xf>
    <xf numFmtId="0" fontId="3" fillId="0" borderId="0" xfId="0" applyFont="1" applyFill="1" applyAlignment="1">
      <alignment horizontal="center" vertical="center"/>
    </xf>
    <xf numFmtId="0" fontId="3" fillId="0" borderId="0" xfId="0" applyFont="1" applyFill="1" applyAlignment="1">
      <alignment horizontal="left" vertical="top" wrapText="1"/>
    </xf>
    <xf numFmtId="0" fontId="28" fillId="0" borderId="0" xfId="0" applyFont="1"/>
    <xf numFmtId="0" fontId="0" fillId="0" borderId="0" xfId="0" applyAlignment="1">
      <alignment horizontal="center"/>
    </xf>
    <xf numFmtId="0" fontId="0" fillId="0" borderId="1" xfId="0" applyBorder="1" applyAlignment="1">
      <alignment horizontal="center"/>
    </xf>
    <xf numFmtId="0" fontId="3" fillId="0" borderId="0" xfId="0" applyFont="1" applyFill="1" applyBorder="1" applyAlignment="1">
      <alignment vertical="top" wrapText="1"/>
    </xf>
    <xf numFmtId="0" fontId="3" fillId="0" borderId="0" xfId="0" applyFont="1" applyFill="1" applyBorder="1" applyAlignment="1">
      <alignment vertical="top"/>
    </xf>
    <xf numFmtId="0" fontId="27" fillId="23" borderId="1" xfId="0" applyFont="1" applyFill="1" applyBorder="1" applyAlignment="1">
      <alignment horizontal="center" vertical="center"/>
    </xf>
    <xf numFmtId="0" fontId="27" fillId="23" borderId="1" xfId="0" applyFont="1" applyFill="1" applyBorder="1" applyAlignment="1">
      <alignment vertical="center" wrapText="1"/>
    </xf>
    <xf numFmtId="0" fontId="5" fillId="0" borderId="1" xfId="0" applyFont="1" applyBorder="1" applyAlignment="1">
      <alignment horizontal="center"/>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0" fillId="2" borderId="0" xfId="0" applyFill="1" applyAlignment="1">
      <alignment horizontal="left" vertical="top" wrapText="1"/>
    </xf>
    <xf numFmtId="0" fontId="5" fillId="2" borderId="0" xfId="0" applyFont="1" applyFill="1" applyAlignment="1">
      <alignment horizontal="left" vertical="top" wrapText="1"/>
    </xf>
    <xf numFmtId="0" fontId="5" fillId="2" borderId="0" xfId="0" applyFont="1" applyFill="1" applyAlignment="1">
      <alignment vertical="top" wrapText="1"/>
    </xf>
    <xf numFmtId="0" fontId="0" fillId="0" borderId="1" xfId="0" applyBorder="1" applyAlignment="1">
      <alignment horizontal="center" vertical="top" wrapText="1"/>
    </xf>
    <xf numFmtId="0" fontId="5" fillId="0" borderId="1" xfId="0" applyFont="1" applyBorder="1" applyAlignment="1">
      <alignment horizontal="center" vertical="top" wrapText="1"/>
    </xf>
    <xf numFmtId="0" fontId="0" fillId="0" borderId="0" xfId="0" applyFill="1" applyProtection="1"/>
    <xf numFmtId="0" fontId="0" fillId="0" borderId="0" xfId="0" applyProtection="1"/>
    <xf numFmtId="0" fontId="16" fillId="4" borderId="1" xfId="0" applyFont="1" applyFill="1" applyBorder="1" applyAlignment="1" applyProtection="1">
      <alignment horizontal="center" wrapText="1"/>
    </xf>
    <xf numFmtId="0" fontId="5" fillId="0" borderId="0" xfId="0" applyFont="1" applyFill="1" applyProtection="1"/>
    <xf numFmtId="0" fontId="5" fillId="0" borderId="0" xfId="0" applyFont="1" applyFill="1" applyBorder="1" applyProtection="1"/>
    <xf numFmtId="0" fontId="36" fillId="15" borderId="31" xfId="0" applyFont="1" applyFill="1" applyBorder="1" applyAlignment="1" applyProtection="1">
      <alignment horizontal="right" vertical="center" wrapText="1"/>
    </xf>
    <xf numFmtId="49" fontId="39" fillId="21" borderId="36" xfId="0" applyNumberFormat="1" applyFont="1" applyFill="1" applyBorder="1" applyAlignment="1" applyProtection="1">
      <alignment horizontal="center" vertical="center" wrapText="1"/>
    </xf>
    <xf numFmtId="0" fontId="0" fillId="0" borderId="1" xfId="0" applyBorder="1" applyProtection="1">
      <protection locked="0"/>
    </xf>
    <xf numFmtId="0" fontId="4" fillId="0" borderId="0" xfId="0" applyFont="1" applyFill="1" applyAlignment="1">
      <alignment horizontal="center" vertical="center" wrapText="1"/>
    </xf>
    <xf numFmtId="0" fontId="0" fillId="0" borderId="0" xfId="0" applyBorder="1"/>
    <xf numFmtId="0" fontId="15" fillId="19" borderId="1" xfId="0" applyFont="1" applyFill="1" applyBorder="1" applyAlignment="1" applyProtection="1">
      <alignment horizontal="center" vertical="center"/>
    </xf>
    <xf numFmtId="0" fontId="15" fillId="17" borderId="1" xfId="0" applyFont="1" applyFill="1" applyBorder="1" applyAlignment="1" applyProtection="1">
      <alignment horizontal="center" vertical="center"/>
    </xf>
    <xf numFmtId="0" fontId="15" fillId="20" borderId="1" xfId="0" applyFont="1" applyFill="1" applyBorder="1" applyAlignment="1" applyProtection="1">
      <alignment horizontal="center" vertical="center"/>
    </xf>
    <xf numFmtId="0" fontId="43" fillId="28" borderId="13" xfId="0" applyFont="1" applyFill="1" applyBorder="1" applyAlignment="1" applyProtection="1">
      <alignment horizontal="center" vertical="top"/>
      <protection locked="0"/>
    </xf>
    <xf numFmtId="0" fontId="44" fillId="28" borderId="22" xfId="0" applyFont="1" applyFill="1" applyBorder="1" applyAlignment="1" applyProtection="1">
      <alignment horizontal="left" vertical="center" wrapText="1"/>
      <protection locked="0"/>
    </xf>
    <xf numFmtId="0" fontId="4" fillId="2" borderId="0" xfId="0" applyFont="1" applyFill="1" applyAlignment="1">
      <alignment horizontal="center" vertical="top"/>
    </xf>
    <xf numFmtId="0" fontId="4" fillId="0" borderId="0" xfId="0" applyFont="1" applyAlignment="1">
      <alignment horizontal="center"/>
    </xf>
    <xf numFmtId="0" fontId="45" fillId="30" borderId="1" xfId="0" applyFont="1" applyFill="1" applyBorder="1" applyAlignment="1">
      <alignment horizontal="center" vertical="center" wrapText="1"/>
    </xf>
    <xf numFmtId="0" fontId="43" fillId="30" borderId="1" xfId="0" applyFont="1" applyFill="1" applyBorder="1" applyAlignment="1">
      <alignment horizontal="center" vertical="center" wrapText="1"/>
    </xf>
    <xf numFmtId="49" fontId="45" fillId="30" borderId="1" xfId="0" applyNumberFormat="1" applyFont="1" applyFill="1" applyBorder="1" applyAlignment="1">
      <alignment horizontal="left" vertical="top" wrapText="1"/>
    </xf>
    <xf numFmtId="0" fontId="45" fillId="30" borderId="4" xfId="0" applyFont="1" applyFill="1" applyBorder="1" applyAlignment="1">
      <alignment horizontal="center" vertical="top" wrapText="1"/>
    </xf>
    <xf numFmtId="0" fontId="43" fillId="30" borderId="1" xfId="0" applyFont="1" applyFill="1" applyBorder="1" applyAlignment="1">
      <alignment vertical="top" wrapText="1"/>
    </xf>
    <xf numFmtId="0" fontId="42" fillId="29" borderId="1" xfId="0" applyFont="1" applyFill="1" applyBorder="1" applyAlignment="1">
      <alignment horizontal="center" vertical="center" wrapText="1"/>
    </xf>
    <xf numFmtId="0" fontId="0" fillId="0" borderId="1" xfId="0" applyFill="1" applyBorder="1" applyAlignment="1">
      <alignment horizontal="center" vertical="center"/>
    </xf>
    <xf numFmtId="0" fontId="5" fillId="0" borderId="1" xfId="0" applyFont="1" applyBorder="1" applyAlignment="1">
      <alignment horizontal="center" vertical="center"/>
    </xf>
    <xf numFmtId="0" fontId="43" fillId="30" borderId="4" xfId="0" applyFont="1" applyFill="1" applyBorder="1" applyAlignment="1">
      <alignment vertical="top" wrapText="1"/>
    </xf>
    <xf numFmtId="49" fontId="45" fillId="30" borderId="1" xfId="0" applyNumberFormat="1" applyFont="1" applyFill="1" applyBorder="1" applyAlignment="1">
      <alignment horizontal="left" vertical="top"/>
    </xf>
    <xf numFmtId="0" fontId="45" fillId="30" borderId="4" xfId="0" applyFont="1" applyFill="1" applyBorder="1" applyAlignment="1">
      <alignment vertical="top" wrapText="1"/>
    </xf>
    <xf numFmtId="0" fontId="0" fillId="0" borderId="0" xfId="0" applyBorder="1" applyAlignment="1">
      <alignment horizontal="center" vertical="center" wrapText="1"/>
    </xf>
    <xf numFmtId="0" fontId="43" fillId="30" borderId="4" xfId="0" applyFont="1" applyFill="1" applyBorder="1" applyAlignment="1">
      <alignment horizontal="center" vertical="top" wrapText="1"/>
    </xf>
    <xf numFmtId="0" fontId="0" fillId="0" borderId="0" xfId="0" applyFill="1" applyBorder="1" applyAlignment="1">
      <alignment horizontal="center" vertical="center"/>
    </xf>
    <xf numFmtId="49" fontId="0" fillId="28" borderId="1" xfId="0" applyNumberFormat="1" applyFill="1" applyBorder="1" applyAlignment="1" applyProtection="1">
      <alignment horizontal="center" vertical="center"/>
      <protection locked="0"/>
    </xf>
    <xf numFmtId="0" fontId="0" fillId="28" borderId="1" xfId="0" applyFill="1" applyBorder="1" applyAlignment="1" applyProtection="1">
      <alignment horizontal="center" vertical="center"/>
      <protection locked="0"/>
    </xf>
    <xf numFmtId="0" fontId="0" fillId="0" borderId="1" xfId="0" applyBorder="1" applyAlignment="1" applyProtection="1">
      <alignment vertical="top"/>
      <protection locked="0"/>
    </xf>
    <xf numFmtId="0" fontId="0" fillId="13" borderId="1" xfId="0" applyFill="1" applyBorder="1" applyAlignment="1" applyProtection="1">
      <alignment vertical="top"/>
      <protection locked="0"/>
    </xf>
    <xf numFmtId="49" fontId="12" fillId="8" borderId="1" xfId="0" applyNumberFormat="1" applyFont="1" applyFill="1" applyBorder="1" applyAlignment="1" applyProtection="1">
      <alignment horizontal="left" vertical="top" wrapText="1"/>
      <protection locked="0"/>
    </xf>
    <xf numFmtId="0" fontId="0" fillId="13" borderId="1" xfId="0" applyFill="1" applyBorder="1" applyProtection="1">
      <protection locked="0"/>
    </xf>
    <xf numFmtId="0" fontId="12" fillId="0" borderId="1" xfId="0" applyFont="1" applyFill="1" applyBorder="1" applyAlignment="1" applyProtection="1">
      <alignment horizontal="left" wrapText="1"/>
      <protection locked="0"/>
    </xf>
    <xf numFmtId="0" fontId="12" fillId="0" borderId="1" xfId="0" applyFont="1" applyFill="1" applyBorder="1" applyAlignment="1" applyProtection="1">
      <alignment horizontal="left" vertical="top" wrapText="1"/>
      <protection locked="0"/>
    </xf>
    <xf numFmtId="0" fontId="12" fillId="2" borderId="1" xfId="0" applyFont="1" applyFill="1" applyBorder="1" applyAlignment="1" applyProtection="1">
      <alignment vertical="top" wrapText="1"/>
      <protection locked="0"/>
    </xf>
    <xf numFmtId="0" fontId="5" fillId="28" borderId="1" xfId="0" applyFont="1" applyFill="1" applyBorder="1" applyAlignment="1" applyProtection="1">
      <alignment horizontal="center" vertical="center"/>
      <protection locked="0"/>
    </xf>
    <xf numFmtId="0" fontId="33" fillId="28" borderId="1" xfId="0" applyFont="1" applyFill="1" applyBorder="1" applyAlignment="1" applyProtection="1">
      <alignment horizontal="center" vertical="center"/>
      <protection locked="0"/>
    </xf>
    <xf numFmtId="0" fontId="0" fillId="0" borderId="5" xfId="0" applyBorder="1" applyProtection="1">
      <protection locked="0"/>
    </xf>
    <xf numFmtId="0" fontId="0" fillId="13" borderId="5" xfId="0" applyFill="1" applyBorder="1" applyProtection="1">
      <protection locked="0"/>
    </xf>
    <xf numFmtId="0" fontId="0" fillId="0" borderId="0" xfId="0"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0" fillId="13" borderId="22" xfId="0" applyFill="1" applyBorder="1" applyAlignment="1" applyProtection="1">
      <alignment vertical="top"/>
      <protection locked="0"/>
    </xf>
    <xf numFmtId="0" fontId="0" fillId="13" borderId="22" xfId="0" applyFill="1" applyBorder="1" applyAlignment="1" applyProtection="1">
      <alignment vertical="top" wrapText="1"/>
      <protection locked="0"/>
    </xf>
    <xf numFmtId="0" fontId="0" fillId="0" borderId="4" xfId="0" applyBorder="1" applyProtection="1">
      <protection locked="0"/>
    </xf>
    <xf numFmtId="0" fontId="0" fillId="13" borderId="4" xfId="0" applyFill="1" applyBorder="1" applyProtection="1">
      <protection locked="0"/>
    </xf>
    <xf numFmtId="0" fontId="4" fillId="5" borderId="2" xfId="0" applyFont="1" applyFill="1" applyBorder="1" applyAlignment="1">
      <alignment horizontal="center" vertical="center" wrapText="1"/>
    </xf>
    <xf numFmtId="0" fontId="4" fillId="5" borderId="9" xfId="0" applyFont="1" applyFill="1" applyBorder="1" applyAlignment="1">
      <alignment horizontal="center" vertical="center" wrapText="1"/>
    </xf>
    <xf numFmtId="166" fontId="48" fillId="18" borderId="1" xfId="0" applyNumberFormat="1" applyFont="1" applyFill="1" applyBorder="1" applyAlignment="1">
      <alignment wrapText="1"/>
    </xf>
    <xf numFmtId="0" fontId="0" fillId="0" borderId="0" xfId="0" applyBorder="1" applyProtection="1"/>
    <xf numFmtId="0" fontId="28" fillId="29" borderId="1" xfId="0" applyFont="1" applyFill="1" applyBorder="1"/>
    <xf numFmtId="2" fontId="27" fillId="14" borderId="13" xfId="0" applyNumberFormat="1" applyFont="1" applyFill="1" applyBorder="1" applyAlignment="1">
      <alignment horizontal="right"/>
    </xf>
    <xf numFmtId="0" fontId="28" fillId="0" borderId="0" xfId="0" applyFont="1" applyBorder="1"/>
    <xf numFmtId="0" fontId="37" fillId="18" borderId="1" xfId="0" applyFont="1" applyFill="1" applyBorder="1" applyAlignment="1" applyProtection="1">
      <alignment horizontal="center" vertical="center" wrapText="1"/>
    </xf>
    <xf numFmtId="0" fontId="38" fillId="15" borderId="30" xfId="0" applyFont="1" applyFill="1" applyBorder="1" applyAlignment="1" applyProtection="1">
      <alignment horizontal="right" vertical="center" wrapText="1"/>
    </xf>
    <xf numFmtId="0" fontId="36" fillId="15" borderId="44" xfId="0" applyFont="1" applyFill="1" applyBorder="1" applyAlignment="1" applyProtection="1">
      <alignment horizontal="right" vertical="center"/>
    </xf>
    <xf numFmtId="0" fontId="39" fillId="15" borderId="44" xfId="0" applyFont="1" applyFill="1" applyBorder="1" applyAlignment="1" applyProtection="1">
      <alignment horizontal="center" vertical="center"/>
    </xf>
    <xf numFmtId="0" fontId="4" fillId="2" borderId="0" xfId="0" applyFont="1" applyFill="1" applyAlignment="1">
      <alignment horizontal="right" vertical="top"/>
    </xf>
    <xf numFmtId="0" fontId="4" fillId="2" borderId="0" xfId="0" applyFont="1" applyFill="1" applyAlignment="1">
      <alignment horizontal="center" vertical="center"/>
    </xf>
    <xf numFmtId="0" fontId="0" fillId="2" borderId="0" xfId="0" applyFill="1" applyAlignment="1">
      <alignment vertical="center"/>
    </xf>
    <xf numFmtId="0" fontId="4" fillId="2" borderId="1" xfId="0" applyFont="1" applyFill="1" applyBorder="1" applyAlignment="1">
      <alignment horizontal="left" vertical="top" wrapText="1"/>
    </xf>
    <xf numFmtId="0" fontId="5" fillId="0" borderId="0" xfId="0" applyFont="1" applyFill="1" applyAlignment="1" applyProtection="1">
      <alignment vertical="top"/>
    </xf>
    <xf numFmtId="0" fontId="5" fillId="0" borderId="0" xfId="0" applyFont="1" applyFill="1" applyAlignment="1">
      <alignment vertical="top"/>
    </xf>
    <xf numFmtId="49" fontId="5" fillId="28" borderId="1" xfId="0" applyNumberFormat="1" applyFont="1" applyFill="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Fill="1" applyBorder="1" applyAlignment="1" applyProtection="1">
      <alignment horizontal="left" vertical="top" wrapText="1"/>
      <protection locked="0"/>
    </xf>
    <xf numFmtId="0" fontId="0" fillId="0" borderId="0" xfId="0" applyFill="1" applyBorder="1" applyProtection="1">
      <protection locked="0"/>
    </xf>
    <xf numFmtId="0" fontId="0" fillId="0" borderId="0" xfId="0" applyAlignment="1" applyProtection="1">
      <alignment horizontal="center" vertical="center"/>
      <protection locked="0"/>
    </xf>
    <xf numFmtId="0" fontId="0" fillId="0" borderId="20" xfId="0" applyBorder="1" applyAlignment="1" applyProtection="1">
      <alignment vertical="top"/>
      <protection locked="0"/>
    </xf>
    <xf numFmtId="0" fontId="0" fillId="0" borderId="0" xfId="0" applyBorder="1" applyAlignment="1" applyProtection="1">
      <alignment vertical="top"/>
      <protection locked="0"/>
    </xf>
    <xf numFmtId="0" fontId="27" fillId="29" borderId="13" xfId="0" applyFont="1" applyFill="1" applyBorder="1" applyAlignment="1">
      <alignment horizontal="right"/>
    </xf>
    <xf numFmtId="0" fontId="0" fillId="0" borderId="1" xfId="0" applyBorder="1" applyAlignment="1">
      <alignment horizontal="center" vertical="top"/>
    </xf>
    <xf numFmtId="0" fontId="43" fillId="30" borderId="1" xfId="0" applyFont="1" applyFill="1" applyBorder="1" applyAlignment="1">
      <alignment horizontal="center" vertical="top" wrapText="1"/>
    </xf>
    <xf numFmtId="0" fontId="0" fillId="0" borderId="1" xfId="0" applyFill="1" applyBorder="1" applyAlignment="1">
      <alignment horizontal="center" vertical="top"/>
    </xf>
    <xf numFmtId="0" fontId="0" fillId="2" borderId="1" xfId="0" applyFill="1" applyBorder="1" applyAlignment="1">
      <alignment horizontal="center" vertical="top"/>
    </xf>
    <xf numFmtId="0" fontId="13" fillId="26" borderId="1" xfId="0" applyFont="1" applyFill="1" applyBorder="1" applyAlignment="1" applyProtection="1">
      <alignment vertical="top"/>
      <protection locked="0"/>
    </xf>
    <xf numFmtId="0" fontId="13" fillId="0" borderId="0" xfId="0" applyFont="1" applyAlignment="1" applyProtection="1">
      <alignment vertical="top"/>
      <protection locked="0"/>
    </xf>
    <xf numFmtId="0" fontId="16" fillId="4" borderId="13" xfId="0" applyFont="1" applyFill="1" applyBorder="1" applyAlignment="1" applyProtection="1">
      <alignment horizontal="center" wrapText="1"/>
    </xf>
    <xf numFmtId="0" fontId="16" fillId="4" borderId="22" xfId="0" applyFont="1" applyFill="1" applyBorder="1" applyAlignment="1" applyProtection="1">
      <alignment horizontal="center" wrapText="1"/>
    </xf>
    <xf numFmtId="0" fontId="15" fillId="7" borderId="1" xfId="0" applyFont="1" applyFill="1" applyBorder="1" applyAlignment="1" applyProtection="1">
      <alignment horizontal="center" vertical="center"/>
      <protection locked="0"/>
    </xf>
    <xf numFmtId="0" fontId="15" fillId="7" borderId="13" xfId="0" applyFont="1" applyFill="1" applyBorder="1" applyAlignment="1" applyProtection="1">
      <alignment horizontal="left" vertical="center"/>
      <protection locked="0"/>
    </xf>
    <xf numFmtId="167" fontId="15" fillId="7" borderId="1" xfId="0" applyNumberFormat="1" applyFont="1" applyFill="1" applyBorder="1" applyAlignment="1" applyProtection="1">
      <alignment vertical="center"/>
      <protection locked="0"/>
    </xf>
    <xf numFmtId="0" fontId="15" fillId="22" borderId="1" xfId="0" applyFont="1" applyFill="1" applyBorder="1" applyAlignment="1" applyProtection="1">
      <alignment horizontal="center" vertical="center"/>
      <protection locked="0"/>
    </xf>
    <xf numFmtId="0" fontId="49" fillId="22" borderId="1" xfId="0" applyFont="1" applyFill="1" applyBorder="1" applyAlignment="1" applyProtection="1">
      <alignment horizontal="center" vertical="center" wrapText="1"/>
      <protection locked="0"/>
    </xf>
    <xf numFmtId="0" fontId="33" fillId="22" borderId="29" xfId="0" applyFont="1" applyFill="1" applyBorder="1" applyAlignment="1" applyProtection="1">
      <alignment horizontal="center" vertical="center"/>
      <protection locked="0"/>
    </xf>
    <xf numFmtId="0" fontId="50" fillId="0" borderId="0" xfId="0" applyFont="1"/>
    <xf numFmtId="0" fontId="50" fillId="0" borderId="0" xfId="0" applyFont="1" applyFill="1" applyAlignment="1">
      <alignment vertical="top"/>
    </xf>
    <xf numFmtId="0" fontId="50" fillId="0" borderId="0" xfId="0" applyFont="1" applyFill="1"/>
    <xf numFmtId="0" fontId="51" fillId="18" borderId="29" xfId="0" applyFont="1" applyFill="1" applyBorder="1" applyAlignment="1" applyProtection="1">
      <alignment horizontal="center"/>
    </xf>
    <xf numFmtId="0" fontId="52" fillId="0" borderId="0" xfId="0" applyFont="1" applyFill="1" applyProtection="1"/>
    <xf numFmtId="0" fontId="52" fillId="0" borderId="0" xfId="0" applyFont="1" applyFill="1"/>
    <xf numFmtId="0" fontId="53" fillId="18" borderId="1" xfId="0" applyFont="1" applyFill="1" applyBorder="1" applyAlignment="1" applyProtection="1">
      <alignment horizontal="center"/>
    </xf>
    <xf numFmtId="0" fontId="52" fillId="0" borderId="0" xfId="0" applyFont="1"/>
    <xf numFmtId="0" fontId="52" fillId="0" borderId="0" xfId="0" applyFont="1" applyBorder="1"/>
    <xf numFmtId="0" fontId="53" fillId="25" borderId="13" xfId="0" applyFont="1" applyFill="1" applyBorder="1" applyAlignment="1">
      <alignment horizontal="center"/>
    </xf>
    <xf numFmtId="0" fontId="5" fillId="0" borderId="0" xfId="0" applyFont="1"/>
    <xf numFmtId="0" fontId="5" fillId="0" borderId="0" xfId="0" applyFont="1" applyFill="1" applyBorder="1" applyAlignment="1">
      <alignment vertical="top"/>
    </xf>
    <xf numFmtId="49" fontId="0" fillId="0" borderId="0" xfId="0" applyNumberFormat="1"/>
    <xf numFmtId="49" fontId="5" fillId="0" borderId="0" xfId="0" applyNumberFormat="1" applyFont="1"/>
    <xf numFmtId="0" fontId="5" fillId="0" borderId="0" xfId="0" applyFont="1" applyFill="1"/>
    <xf numFmtId="0" fontId="5" fillId="2" borderId="0" xfId="0" applyFont="1" applyFill="1" applyAlignment="1">
      <alignment horizontal="left" vertical="top" wrapText="1"/>
    </xf>
    <xf numFmtId="0" fontId="5" fillId="0" borderId="0" xfId="0" applyFont="1" applyFill="1" applyAlignment="1">
      <alignment vertical="top" wrapText="1"/>
    </xf>
    <xf numFmtId="0" fontId="0" fillId="0" borderId="0" xfId="0" applyFill="1" applyAlignment="1">
      <alignment vertical="top" wrapText="1"/>
    </xf>
    <xf numFmtId="0" fontId="13" fillId="0" borderId="0" xfId="0" applyFont="1" applyFill="1" applyAlignment="1">
      <alignment vertical="top" wrapText="1"/>
    </xf>
    <xf numFmtId="0" fontId="15" fillId="0" borderId="0" xfId="0" applyFont="1" applyFill="1" applyAlignment="1">
      <alignment vertical="top" wrapText="1"/>
    </xf>
    <xf numFmtId="0" fontId="52" fillId="0" borderId="0" xfId="0" applyFont="1" applyFill="1" applyAlignment="1">
      <alignment vertical="top" wrapText="1"/>
    </xf>
    <xf numFmtId="0" fontId="50" fillId="0" borderId="0" xfId="0" applyFont="1" applyFill="1" applyAlignment="1">
      <alignment vertical="top" wrapText="1"/>
    </xf>
    <xf numFmtId="0" fontId="41" fillId="0" borderId="0" xfId="0" applyFont="1" applyBorder="1" applyAlignment="1">
      <alignment vertical="center"/>
    </xf>
    <xf numFmtId="0" fontId="5" fillId="2" borderId="0" xfId="0" applyFont="1" applyFill="1" applyBorder="1" applyAlignment="1">
      <alignment vertical="center"/>
    </xf>
    <xf numFmtId="49" fontId="5" fillId="0" borderId="0" xfId="0" applyNumberFormat="1" applyFont="1" applyFill="1"/>
    <xf numFmtId="0" fontId="0" fillId="0" borderId="1" xfId="0" applyBorder="1" applyAlignment="1">
      <alignment horizontal="center" vertical="center"/>
    </xf>
    <xf numFmtId="0" fontId="0" fillId="2" borderId="0" xfId="0" applyFill="1" applyAlignment="1"/>
    <xf numFmtId="0" fontId="0" fillId="0" borderId="0" xfId="0" applyBorder="1" applyAlignment="1">
      <alignment horizontal="left" vertical="top"/>
    </xf>
    <xf numFmtId="49" fontId="0" fillId="0" borderId="0" xfId="0" applyNumberFormat="1" applyBorder="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20" fillId="0" borderId="0" xfId="1" applyFont="1" applyFill="1" applyBorder="1" applyAlignment="1" applyProtection="1">
      <alignment horizontal="left" vertical="top" wrapText="1"/>
      <protection locked="0"/>
    </xf>
    <xf numFmtId="0" fontId="5" fillId="0" borderId="0" xfId="0" applyFont="1" applyFill="1" applyBorder="1" applyAlignment="1" applyProtection="1">
      <alignment horizontal="left" vertical="top" wrapText="1"/>
      <protection locked="0"/>
    </xf>
    <xf numFmtId="0" fontId="0" fillId="0" borderId="0" xfId="0" applyBorder="1" applyAlignment="1">
      <alignment horizontal="center" vertical="top"/>
    </xf>
    <xf numFmtId="0" fontId="4" fillId="5" borderId="1" xfId="0" applyFont="1" applyFill="1" applyBorder="1" applyAlignment="1" applyProtection="1">
      <alignment horizontal="center" vertical="center" wrapText="1"/>
      <protection locked="0"/>
    </xf>
    <xf numFmtId="0" fontId="45" fillId="30" borderId="1" xfId="0" applyFont="1" applyFill="1" applyBorder="1" applyAlignment="1">
      <alignment horizontal="center" vertical="top" wrapText="1"/>
    </xf>
    <xf numFmtId="0" fontId="5" fillId="2"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5" fillId="30" borderId="1" xfId="0" applyFont="1" applyFill="1" applyBorder="1" applyAlignment="1">
      <alignment horizontal="center" vertical="center" wrapText="1"/>
    </xf>
    <xf numFmtId="0" fontId="15" fillId="22" borderId="22" xfId="0" applyFont="1" applyFill="1" applyBorder="1" applyAlignment="1" applyProtection="1">
      <alignment horizontal="center" vertical="center"/>
      <protection locked="0"/>
    </xf>
    <xf numFmtId="0" fontId="56" fillId="0" borderId="1" xfId="0" applyFont="1" applyFill="1" applyBorder="1" applyAlignment="1" applyProtection="1">
      <alignment horizontal="right" vertical="center"/>
    </xf>
    <xf numFmtId="0" fontId="37" fillId="27" borderId="1" xfId="0" applyFont="1" applyFill="1" applyBorder="1" applyAlignment="1" applyProtection="1">
      <alignment horizontal="center" vertical="center" wrapText="1"/>
    </xf>
    <xf numFmtId="0" fontId="36" fillId="18" borderId="1" xfId="0" applyFont="1" applyFill="1" applyBorder="1" applyAlignment="1" applyProtection="1">
      <alignment horizontal="left" vertical="center" wrapText="1"/>
    </xf>
    <xf numFmtId="0" fontId="13" fillId="15" borderId="1" xfId="0" applyFont="1" applyFill="1" applyBorder="1" applyAlignment="1" applyProtection="1">
      <alignment vertical="top"/>
      <protection locked="0"/>
    </xf>
    <xf numFmtId="0" fontId="37" fillId="27" borderId="5" xfId="0" applyFont="1" applyFill="1" applyBorder="1" applyAlignment="1" applyProtection="1">
      <alignment horizontal="center" vertical="center" wrapText="1"/>
    </xf>
    <xf numFmtId="0" fontId="36" fillId="18" borderId="12" xfId="0" applyFont="1" applyFill="1" applyBorder="1" applyAlignment="1" applyProtection="1">
      <alignment vertical="center" wrapText="1"/>
    </xf>
    <xf numFmtId="0" fontId="36" fillId="18" borderId="18" xfId="0" applyFont="1" applyFill="1" applyBorder="1" applyAlignment="1" applyProtection="1">
      <alignment horizontal="left" vertical="center" wrapText="1"/>
    </xf>
    <xf numFmtId="0" fontId="4" fillId="0" borderId="0" xfId="0" applyFont="1"/>
    <xf numFmtId="0" fontId="4" fillId="14" borderId="26" xfId="0" applyFont="1" applyFill="1" applyBorder="1" applyAlignment="1">
      <alignment horizontal="center" vertical="center"/>
    </xf>
    <xf numFmtId="0" fontId="56" fillId="0" borderId="1" xfId="0" applyFont="1" applyFill="1" applyBorder="1" applyAlignment="1" applyProtection="1">
      <alignment horizontal="right" vertical="center" wrapText="1"/>
    </xf>
    <xf numFmtId="0" fontId="5" fillId="2" borderId="0" xfId="0" applyFont="1" applyFill="1" applyAlignment="1">
      <alignment horizontal="center" vertical="top"/>
    </xf>
    <xf numFmtId="0" fontId="45" fillId="30" borderId="13" xfId="0" applyFont="1" applyFill="1" applyBorder="1" applyAlignment="1">
      <alignment horizontal="left" vertical="top" wrapText="1"/>
    </xf>
    <xf numFmtId="0" fontId="45" fillId="30" borderId="33" xfId="0" applyFont="1" applyFill="1" applyBorder="1" applyAlignment="1">
      <alignment horizontal="left" vertical="top" wrapText="1"/>
    </xf>
    <xf numFmtId="0" fontId="45" fillId="30" borderId="22" xfId="0" applyFont="1" applyFill="1" applyBorder="1" applyAlignment="1">
      <alignment horizontal="left" vertical="top" wrapText="1"/>
    </xf>
    <xf numFmtId="0" fontId="0" fillId="28" borderId="1" xfId="0" applyFill="1" applyBorder="1" applyAlignment="1" applyProtection="1">
      <alignment horizontal="center" vertical="top"/>
      <protection locked="0"/>
    </xf>
    <xf numFmtId="0" fontId="4" fillId="5" borderId="14" xfId="0" applyFont="1" applyFill="1" applyBorder="1" applyAlignment="1">
      <alignment horizontal="center" vertical="top" wrapText="1"/>
    </xf>
    <xf numFmtId="0" fontId="4" fillId="14" borderId="26" xfId="0" applyFont="1" applyFill="1" applyBorder="1" applyAlignment="1">
      <alignment horizontal="center" vertical="top"/>
    </xf>
    <xf numFmtId="166" fontId="13" fillId="26" borderId="13" xfId="0" applyNumberFormat="1" applyFont="1" applyFill="1" applyBorder="1" applyAlignment="1" applyProtection="1">
      <alignment vertical="top"/>
      <protection locked="0"/>
    </xf>
    <xf numFmtId="0" fontId="0" fillId="0" borderId="0" xfId="0" applyAlignment="1">
      <alignment vertical="center"/>
    </xf>
    <xf numFmtId="49" fontId="0" fillId="0" borderId="54" xfId="0" applyNumberFormat="1" applyBorder="1" applyAlignment="1">
      <alignment horizontal="left" vertical="center" wrapText="1"/>
    </xf>
    <xf numFmtId="49" fontId="18" fillId="6" borderId="54" xfId="0" applyNumberFormat="1" applyFont="1" applyFill="1" applyBorder="1" applyAlignment="1">
      <alignment horizontal="left" vertical="center" wrapText="1"/>
    </xf>
    <xf numFmtId="49" fontId="5" fillId="0" borderId="54" xfId="0" applyNumberFormat="1" applyFont="1" applyBorder="1" applyAlignment="1">
      <alignment horizontal="left" vertical="center" wrapText="1"/>
    </xf>
    <xf numFmtId="0" fontId="0" fillId="0" borderId="0" xfId="0" applyAlignment="1">
      <alignment horizontal="left" vertical="center"/>
    </xf>
    <xf numFmtId="0" fontId="0" fillId="0" borderId="0" xfId="0" applyAlignment="1">
      <alignment vertical="center" wrapText="1"/>
    </xf>
    <xf numFmtId="0" fontId="0" fillId="0" borderId="0" xfId="0" applyBorder="1" applyAlignment="1">
      <alignment vertical="center" wrapText="1"/>
    </xf>
    <xf numFmtId="0" fontId="5" fillId="0" borderId="0" xfId="0" applyFont="1" applyFill="1" applyBorder="1" applyAlignment="1">
      <alignment horizontal="left" vertical="top" wrapText="1"/>
    </xf>
    <xf numFmtId="0" fontId="4" fillId="0" borderId="0" xfId="0" applyFont="1" applyFill="1" applyBorder="1" applyAlignment="1">
      <alignment horizontal="left" vertical="top" wrapText="1"/>
    </xf>
    <xf numFmtId="49" fontId="4" fillId="5" borderId="1" xfId="0" applyNumberFormat="1" applyFont="1" applyFill="1" applyBorder="1" applyAlignment="1" applyProtection="1">
      <alignment horizontal="center" vertical="center" wrapText="1"/>
    </xf>
    <xf numFmtId="0" fontId="4" fillId="5" borderId="1" xfId="0" applyFont="1" applyFill="1" applyBorder="1" applyAlignment="1" applyProtection="1">
      <alignment horizontal="left" vertical="top" wrapText="1"/>
    </xf>
    <xf numFmtId="0" fontId="4" fillId="5" borderId="1" xfId="0" applyFont="1" applyFill="1" applyBorder="1" applyAlignment="1" applyProtection="1">
      <alignment horizontal="center" vertical="center" wrapText="1"/>
    </xf>
    <xf numFmtId="0" fontId="26" fillId="13" borderId="1" xfId="0" applyFont="1" applyFill="1" applyBorder="1" applyAlignment="1" applyProtection="1">
      <alignment vertical="top" wrapText="1"/>
    </xf>
    <xf numFmtId="0" fontId="26" fillId="13" borderId="19" xfId="0" applyFont="1" applyFill="1" applyBorder="1" applyAlignment="1" applyProtection="1">
      <alignment vertical="top" wrapText="1"/>
    </xf>
    <xf numFmtId="0" fontId="0" fillId="0" borderId="0" xfId="0" applyAlignment="1" applyProtection="1">
      <alignment horizontal="center" vertical="center"/>
    </xf>
    <xf numFmtId="0" fontId="0" fillId="0" borderId="0" xfId="0" applyAlignment="1" applyProtection="1">
      <alignment horizontal="left" vertical="top" wrapText="1"/>
    </xf>
    <xf numFmtId="0" fontId="0" fillId="0" borderId="20" xfId="0" applyBorder="1" applyAlignment="1" applyProtection="1">
      <alignment vertical="top"/>
    </xf>
    <xf numFmtId="0" fontId="4" fillId="5" borderId="14" xfId="0" applyFont="1" applyFill="1" applyBorder="1" applyAlignment="1" applyProtection="1">
      <alignment horizontal="center" vertical="center" wrapText="1"/>
    </xf>
    <xf numFmtId="0" fontId="4" fillId="5" borderId="14" xfId="0" applyFont="1" applyFill="1" applyBorder="1" applyAlignment="1" applyProtection="1">
      <alignment horizontal="left" vertical="top" wrapText="1"/>
    </xf>
    <xf numFmtId="0" fontId="4" fillId="14" borderId="26" xfId="0" applyFont="1" applyFill="1" applyBorder="1" applyAlignment="1" applyProtection="1">
      <alignment horizontal="center" vertical="center"/>
    </xf>
    <xf numFmtId="0" fontId="26" fillId="15" borderId="1" xfId="0" applyFont="1" applyFill="1" applyBorder="1" applyAlignment="1" applyProtection="1">
      <alignment vertical="top" wrapText="1"/>
    </xf>
    <xf numFmtId="0" fontId="0" fillId="0" borderId="0" xfId="0" applyFill="1" applyAlignment="1" applyProtection="1">
      <alignment vertical="center"/>
    </xf>
    <xf numFmtId="0" fontId="0" fillId="0" borderId="0" xfId="0" applyFill="1" applyAlignment="1">
      <alignment vertical="center"/>
    </xf>
    <xf numFmtId="0" fontId="15" fillId="0" borderId="0" xfId="0" applyFont="1" applyFill="1" applyAlignment="1" applyProtection="1">
      <alignment vertical="center"/>
    </xf>
    <xf numFmtId="0" fontId="15" fillId="0" borderId="0" xfId="0" applyFont="1" applyFill="1" applyAlignment="1">
      <alignment vertical="center"/>
    </xf>
    <xf numFmtId="0" fontId="5" fillId="23" borderId="0" xfId="0" applyFont="1" applyFill="1"/>
    <xf numFmtId="49" fontId="4" fillId="0" borderId="0" xfId="0" applyNumberFormat="1" applyFont="1"/>
    <xf numFmtId="49" fontId="4" fillId="0" borderId="0" xfId="0" quotePrefix="1" applyNumberFormat="1" applyFont="1"/>
    <xf numFmtId="0" fontId="59" fillId="7" borderId="13" xfId="0" applyFont="1" applyFill="1" applyBorder="1" applyAlignment="1" applyProtection="1">
      <alignment horizontal="left" vertical="center"/>
      <protection locked="0"/>
    </xf>
    <xf numFmtId="0" fontId="32" fillId="0" borderId="0" xfId="2" applyFill="1" applyBorder="1" applyAlignment="1" applyProtection="1">
      <alignment horizontal="center" vertical="center"/>
    </xf>
    <xf numFmtId="0" fontId="12" fillId="0" borderId="0" xfId="0" applyFont="1" applyFill="1" applyBorder="1" applyAlignment="1">
      <alignment vertical="top" wrapText="1"/>
    </xf>
    <xf numFmtId="0" fontId="0" fillId="0" borderId="1" xfId="0" applyBorder="1" applyAlignment="1">
      <alignment horizontal="center" vertical="center"/>
    </xf>
    <xf numFmtId="0" fontId="0" fillId="28" borderId="33" xfId="0" applyFill="1" applyBorder="1" applyAlignment="1" applyProtection="1">
      <alignment horizontal="center" vertical="top"/>
      <protection locked="0"/>
    </xf>
    <xf numFmtId="0" fontId="5" fillId="0" borderId="4" xfId="0" applyFont="1" applyFill="1" applyBorder="1" applyAlignment="1">
      <alignment horizontal="center" vertical="top" wrapText="1"/>
    </xf>
    <xf numFmtId="0" fontId="61" fillId="0" borderId="0" xfId="0" applyFont="1" applyBorder="1" applyAlignment="1" applyProtection="1">
      <alignment vertical="top"/>
      <protection locked="0"/>
    </xf>
    <xf numFmtId="49" fontId="40" fillId="8" borderId="1" xfId="0" applyNumberFormat="1" applyFont="1" applyFill="1" applyBorder="1" applyAlignment="1" applyProtection="1">
      <alignment horizontal="left" vertical="top" wrapText="1"/>
      <protection locked="0"/>
    </xf>
    <xf numFmtId="49" fontId="0" fillId="26" borderId="1" xfId="0" applyNumberFormat="1" applyFill="1" applyBorder="1" applyAlignment="1" applyProtection="1">
      <alignment horizontal="left" vertical="top" wrapText="1"/>
      <protection locked="0"/>
    </xf>
    <xf numFmtId="49" fontId="5" fillId="26" borderId="1" xfId="0" applyNumberFormat="1" applyFont="1" applyFill="1" applyBorder="1" applyAlignment="1" applyProtection="1">
      <alignment horizontal="left" vertical="top" wrapText="1"/>
      <protection locked="0"/>
    </xf>
    <xf numFmtId="49" fontId="12" fillId="26" borderId="1" xfId="0" applyNumberFormat="1" applyFont="1" applyFill="1" applyBorder="1" applyAlignment="1" applyProtection="1">
      <alignment horizontal="left" vertical="top" wrapText="1"/>
      <protection locked="0"/>
    </xf>
    <xf numFmtId="49" fontId="40" fillId="11" borderId="1" xfId="1" applyNumberFormat="1" applyFont="1" applyBorder="1" applyAlignment="1" applyProtection="1">
      <alignment horizontal="left" vertical="top" wrapText="1"/>
      <protection locked="0"/>
    </xf>
    <xf numFmtId="49" fontId="40" fillId="11" borderId="37" xfId="1" applyNumberFormat="1" applyFont="1" applyBorder="1" applyAlignment="1" applyProtection="1">
      <alignment horizontal="left" vertical="top" wrapText="1"/>
      <protection locked="0"/>
    </xf>
    <xf numFmtId="49" fontId="12" fillId="8" borderId="13" xfId="0" applyNumberFormat="1" applyFont="1" applyFill="1" applyBorder="1" applyAlignment="1" applyProtection="1">
      <alignment horizontal="left" vertical="top" wrapText="1"/>
      <protection locked="0"/>
    </xf>
    <xf numFmtId="49" fontId="12" fillId="26" borderId="13" xfId="0" applyNumberFormat="1" applyFont="1" applyFill="1" applyBorder="1" applyAlignment="1" applyProtection="1">
      <alignment horizontal="left" vertical="top" wrapText="1"/>
      <protection locked="0"/>
    </xf>
    <xf numFmtId="49" fontId="12" fillId="26" borderId="33" xfId="0" applyNumberFormat="1" applyFont="1" applyFill="1" applyBorder="1" applyAlignment="1" applyProtection="1">
      <alignment horizontal="left" vertical="top" wrapText="1"/>
      <protection locked="0"/>
    </xf>
    <xf numFmtId="49" fontId="40" fillId="8" borderId="33" xfId="0" applyNumberFormat="1" applyFont="1" applyFill="1" applyBorder="1" applyAlignment="1" applyProtection="1">
      <alignment horizontal="left" vertical="top" wrapText="1"/>
      <protection locked="0"/>
    </xf>
    <xf numFmtId="49" fontId="40" fillId="8" borderId="34" xfId="0" applyNumberFormat="1" applyFont="1" applyFill="1" applyBorder="1" applyAlignment="1" applyProtection="1">
      <alignment horizontal="left" vertical="top" wrapText="1"/>
      <protection locked="0"/>
    </xf>
    <xf numFmtId="49" fontId="40" fillId="11" borderId="56" xfId="1" applyNumberFormat="1" applyFont="1" applyBorder="1" applyAlignment="1" applyProtection="1">
      <alignment horizontal="left" vertical="top" wrapText="1"/>
      <protection locked="0"/>
    </xf>
    <xf numFmtId="49" fontId="12" fillId="8" borderId="5" xfId="0" applyNumberFormat="1" applyFont="1" applyFill="1" applyBorder="1" applyAlignment="1" applyProtection="1">
      <alignment horizontal="left" vertical="top" wrapText="1"/>
      <protection locked="0"/>
    </xf>
    <xf numFmtId="0" fontId="5" fillId="0" borderId="1" xfId="0" applyNumberFormat="1" applyFont="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center" vertical="center"/>
    </xf>
    <xf numFmtId="167" fontId="4" fillId="2" borderId="5" xfId="0" applyNumberFormat="1" applyFont="1" applyFill="1" applyBorder="1" applyAlignment="1">
      <alignment horizontal="right" vertical="top" wrapText="1"/>
    </xf>
    <xf numFmtId="167" fontId="5" fillId="2" borderId="5" xfId="0" applyNumberFormat="1" applyFont="1" applyFill="1" applyBorder="1" applyAlignment="1">
      <alignment horizontal="right" vertical="top" wrapText="1"/>
    </xf>
    <xf numFmtId="49" fontId="5" fillId="0" borderId="19" xfId="0" applyNumberFormat="1" applyFont="1" applyBorder="1" applyAlignment="1">
      <alignment vertical="top"/>
    </xf>
    <xf numFmtId="167" fontId="5" fillId="2" borderId="56" xfId="0" applyNumberFormat="1" applyFont="1" applyFill="1" applyBorder="1" applyAlignment="1">
      <alignment horizontal="right" vertical="top" wrapText="1"/>
    </xf>
    <xf numFmtId="0" fontId="5" fillId="0" borderId="19" xfId="0" applyFont="1" applyFill="1" applyBorder="1" applyAlignment="1">
      <alignment vertical="top" wrapText="1"/>
    </xf>
    <xf numFmtId="49" fontId="0" fillId="0" borderId="57" xfId="0" applyNumberFormat="1" applyBorder="1" applyAlignment="1">
      <alignment vertical="top"/>
    </xf>
    <xf numFmtId="167" fontId="5" fillId="2" borderId="58" xfId="0" applyNumberFormat="1" applyFont="1" applyFill="1" applyBorder="1" applyAlignment="1">
      <alignment horizontal="right" vertical="top" wrapText="1"/>
    </xf>
    <xf numFmtId="0" fontId="5" fillId="0" borderId="57" xfId="0" applyFont="1" applyBorder="1" applyAlignment="1">
      <alignment vertical="top" wrapText="1"/>
    </xf>
    <xf numFmtId="0" fontId="4" fillId="33" borderId="59" xfId="0" applyFont="1" applyFill="1" applyBorder="1" applyAlignment="1">
      <alignment horizontal="center" vertical="center" wrapText="1"/>
    </xf>
    <xf numFmtId="0" fontId="5" fillId="2" borderId="59" xfId="0" applyFont="1" applyFill="1" applyBorder="1" applyAlignment="1">
      <alignment vertical="top" wrapText="1"/>
    </xf>
    <xf numFmtId="0" fontId="4" fillId="28" borderId="59" xfId="0" applyFont="1" applyFill="1" applyBorder="1" applyAlignment="1">
      <alignment horizontal="center" vertical="center" wrapText="1"/>
    </xf>
    <xf numFmtId="0" fontId="32" fillId="2" borderId="0" xfId="2" applyFill="1" applyAlignment="1" applyProtection="1">
      <alignment vertical="top" wrapText="1"/>
    </xf>
    <xf numFmtId="0" fontId="32" fillId="0" borderId="0" xfId="2" applyAlignment="1" applyProtection="1">
      <alignment wrapText="1"/>
    </xf>
    <xf numFmtId="0" fontId="5" fillId="0" borderId="57" xfId="0" applyFont="1" applyBorder="1" applyAlignment="1">
      <alignment vertical="top"/>
    </xf>
    <xf numFmtId="0" fontId="4" fillId="0" borderId="0" xfId="0" applyFont="1" applyFill="1" applyAlignment="1">
      <alignment horizontal="left" vertical="center" wrapText="1"/>
    </xf>
    <xf numFmtId="0" fontId="4" fillId="0" borderId="0" xfId="0" applyFont="1" applyFill="1" applyBorder="1" applyAlignment="1">
      <alignment horizontal="left" vertical="top" wrapText="1"/>
    </xf>
    <xf numFmtId="0" fontId="4" fillId="16" borderId="0" xfId="0" applyFont="1" applyFill="1" applyAlignment="1">
      <alignment horizontal="center" vertical="center" wrapText="1"/>
    </xf>
    <xf numFmtId="0" fontId="4" fillId="21" borderId="0" xfId="0" applyFont="1" applyFill="1" applyAlignment="1">
      <alignment horizontal="center" vertical="center" wrapText="1"/>
    </xf>
    <xf numFmtId="0" fontId="4" fillId="20" borderId="0" xfId="0" applyFont="1" applyFill="1" applyAlignment="1">
      <alignment horizontal="center" vertical="center" wrapText="1"/>
    </xf>
    <xf numFmtId="0" fontId="5" fillId="2" borderId="0" xfId="0" applyFont="1" applyFill="1" applyAlignment="1">
      <alignment horizontal="center" vertical="center"/>
    </xf>
    <xf numFmtId="0" fontId="41" fillId="18" borderId="1" xfId="0" applyFont="1" applyFill="1" applyBorder="1" applyAlignment="1">
      <alignment vertical="center"/>
    </xf>
    <xf numFmtId="0" fontId="64" fillId="18" borderId="1" xfId="0" applyFont="1" applyFill="1" applyBorder="1" applyAlignment="1">
      <alignment vertical="center"/>
    </xf>
    <xf numFmtId="0" fontId="41" fillId="0" borderId="1" xfId="0" applyFont="1" applyBorder="1" applyAlignment="1">
      <alignment vertical="center"/>
    </xf>
    <xf numFmtId="0" fontId="5" fillId="2" borderId="1" xfId="0" applyFont="1" applyFill="1" applyBorder="1" applyAlignment="1">
      <alignment vertical="center"/>
    </xf>
    <xf numFmtId="0" fontId="65" fillId="18" borderId="0" xfId="0" applyFont="1" applyFill="1" applyAlignment="1">
      <alignment horizontal="center" vertical="center" wrapText="1"/>
    </xf>
    <xf numFmtId="0" fontId="65" fillId="34" borderId="0" xfId="0" applyFont="1" applyFill="1" applyAlignment="1">
      <alignment horizontal="center" vertical="center" wrapText="1"/>
    </xf>
    <xf numFmtId="0" fontId="65" fillId="12" borderId="0" xfId="0" applyFont="1" applyFill="1" applyAlignment="1">
      <alignment horizontal="center" vertical="center" wrapText="1"/>
    </xf>
    <xf numFmtId="0" fontId="65" fillId="35" borderId="0" xfId="0" applyFont="1" applyFill="1" applyAlignment="1">
      <alignment horizontal="center" vertical="center" wrapText="1"/>
    </xf>
    <xf numFmtId="0" fontId="4" fillId="0" borderId="0" xfId="0" applyFont="1" applyFill="1" applyBorder="1" applyAlignment="1">
      <alignment horizontal="left" wrapText="1"/>
    </xf>
    <xf numFmtId="0" fontId="4" fillId="2" borderId="0" xfId="0" applyFont="1" applyFill="1" applyAlignment="1">
      <alignment horizontal="left" vertical="top"/>
    </xf>
    <xf numFmtId="49" fontId="5" fillId="0" borderId="59" xfId="0" applyNumberFormat="1" applyFont="1" applyBorder="1" applyAlignment="1">
      <alignment vertical="top"/>
    </xf>
    <xf numFmtId="167" fontId="5" fillId="2" borderId="60" xfId="0" applyNumberFormat="1" applyFont="1" applyFill="1" applyBorder="1" applyAlignment="1">
      <alignment horizontal="right" vertical="top" wrapText="1"/>
    </xf>
    <xf numFmtId="0" fontId="5" fillId="0" borderId="59" xfId="0" applyFont="1" applyFill="1" applyBorder="1" applyAlignment="1">
      <alignment vertical="top" wrapText="1"/>
    </xf>
    <xf numFmtId="0" fontId="0" fillId="0" borderId="1" xfId="0" applyBorder="1" applyAlignment="1">
      <alignment horizontal="center" vertical="center"/>
    </xf>
    <xf numFmtId="0" fontId="0" fillId="0" borderId="59" xfId="0" applyBorder="1" applyAlignment="1">
      <alignment horizontal="center" vertical="top" wrapText="1"/>
    </xf>
    <xf numFmtId="0" fontId="5" fillId="0" borderId="59" xfId="0" applyFont="1" applyBorder="1" applyAlignment="1">
      <alignment horizontal="center" vertical="top" wrapText="1"/>
    </xf>
    <xf numFmtId="0" fontId="5" fillId="0" borderId="59" xfId="0" applyFont="1" applyBorder="1" applyAlignment="1">
      <alignment horizontal="center" vertical="center" wrapText="1"/>
    </xf>
    <xf numFmtId="0" fontId="0" fillId="0" borderId="59" xfId="0" applyBorder="1" applyAlignment="1">
      <alignment horizontal="center" vertical="center" wrapText="1"/>
    </xf>
    <xf numFmtId="0" fontId="5" fillId="15" borderId="59" xfId="0" applyFont="1" applyFill="1" applyBorder="1" applyAlignment="1">
      <alignment horizontal="center" vertical="top" wrapText="1"/>
    </xf>
    <xf numFmtId="0" fontId="5" fillId="0" borderId="59" xfId="0" applyFont="1" applyBorder="1" applyAlignment="1">
      <alignment horizontal="center"/>
    </xf>
    <xf numFmtId="0" fontId="5" fillId="0" borderId="59" xfId="0" applyFont="1" applyBorder="1" applyAlignment="1">
      <alignment wrapText="1"/>
    </xf>
    <xf numFmtId="0" fontId="32" fillId="0" borderId="59" xfId="2" applyBorder="1" applyAlignment="1" applyProtection="1">
      <alignment wrapText="1"/>
    </xf>
    <xf numFmtId="0" fontId="0" fillId="28" borderId="59" xfId="0" applyFill="1" applyBorder="1" applyAlignment="1" applyProtection="1">
      <alignment horizontal="center" vertical="center"/>
      <protection locked="0"/>
    </xf>
    <xf numFmtId="49" fontId="12" fillId="26" borderId="59" xfId="0" applyNumberFormat="1" applyFont="1" applyFill="1" applyBorder="1" applyAlignment="1" applyProtection="1">
      <alignment horizontal="left" vertical="top" wrapText="1"/>
      <protection locked="0"/>
    </xf>
    <xf numFmtId="0" fontId="0" fillId="13" borderId="59" xfId="0" applyFill="1" applyBorder="1" applyProtection="1">
      <protection locked="0"/>
    </xf>
    <xf numFmtId="0" fontId="33" fillId="0" borderId="1" xfId="0" applyFont="1" applyFill="1" applyBorder="1" applyAlignment="1">
      <alignment horizontal="left" vertical="top" wrapText="1"/>
    </xf>
    <xf numFmtId="0" fontId="33" fillId="0" borderId="1" xfId="0" applyFont="1" applyFill="1" applyBorder="1" applyAlignment="1">
      <alignment vertical="top" wrapText="1"/>
    </xf>
    <xf numFmtId="49" fontId="5" fillId="15" borderId="59" xfId="0" applyNumberFormat="1" applyFont="1" applyFill="1" applyBorder="1" applyAlignment="1">
      <alignment horizontal="left" vertical="top"/>
    </xf>
    <xf numFmtId="0" fontId="5" fillId="15" borderId="59" xfId="0" applyFont="1" applyFill="1" applyBorder="1" applyAlignment="1">
      <alignment horizontal="left" vertical="top"/>
    </xf>
    <xf numFmtId="0" fontId="4" fillId="32" borderId="59" xfId="0" applyFont="1" applyFill="1" applyBorder="1" applyAlignment="1">
      <alignment horizontal="center" vertical="center"/>
    </xf>
    <xf numFmtId="0" fontId="5" fillId="0" borderId="59" xfId="0" applyFont="1" applyFill="1" applyBorder="1" applyAlignment="1">
      <alignment horizontal="center" vertical="center" wrapText="1"/>
    </xf>
    <xf numFmtId="0" fontId="13" fillId="0" borderId="0" xfId="0" applyFont="1" applyBorder="1" applyAlignment="1" applyProtection="1">
      <alignment vertical="top"/>
      <protection locked="0"/>
    </xf>
    <xf numFmtId="0" fontId="13" fillId="26" borderId="33" xfId="0" applyFont="1" applyFill="1" applyBorder="1" applyAlignment="1" applyProtection="1">
      <alignment vertical="top"/>
      <protection locked="0"/>
    </xf>
    <xf numFmtId="166" fontId="13" fillId="26" borderId="33" xfId="0" applyNumberFormat="1" applyFont="1" applyFill="1" applyBorder="1" applyAlignment="1" applyProtection="1">
      <alignment vertical="top"/>
      <protection locked="0"/>
    </xf>
    <xf numFmtId="0" fontId="13" fillId="26" borderId="13" xfId="0" applyNumberFormat="1" applyFont="1" applyFill="1" applyBorder="1" applyAlignment="1" applyProtection="1">
      <alignment horizontal="left" vertical="top" wrapText="1"/>
      <protection locked="0"/>
    </xf>
    <xf numFmtId="0" fontId="13" fillId="26" borderId="33" xfId="0" applyNumberFormat="1" applyFont="1" applyFill="1" applyBorder="1" applyAlignment="1" applyProtection="1">
      <alignment horizontal="left" vertical="top" wrapText="1"/>
      <protection locked="0"/>
    </xf>
    <xf numFmtId="0" fontId="0" fillId="0" borderId="59" xfId="0" applyBorder="1"/>
    <xf numFmtId="0" fontId="4" fillId="0" borderId="0" xfId="0" applyFont="1" applyAlignment="1">
      <alignment wrapText="1"/>
    </xf>
    <xf numFmtId="0" fontId="53" fillId="25" borderId="59" xfId="0" applyFont="1" applyFill="1" applyBorder="1" applyAlignment="1">
      <alignment horizontal="center"/>
    </xf>
    <xf numFmtId="0" fontId="13" fillId="29" borderId="1" xfId="0" applyFont="1" applyFill="1" applyBorder="1" applyAlignment="1" applyProtection="1">
      <alignment vertical="top"/>
      <protection locked="0"/>
    </xf>
    <xf numFmtId="0" fontId="0" fillId="29" borderId="59" xfId="0" applyFill="1" applyBorder="1"/>
    <xf numFmtId="49" fontId="15" fillId="7" borderId="1" xfId="0" applyNumberFormat="1" applyFont="1" applyFill="1" applyBorder="1" applyAlignment="1" applyProtection="1">
      <alignment horizontal="center" vertical="center"/>
      <protection locked="0"/>
    </xf>
    <xf numFmtId="0" fontId="3" fillId="3" borderId="61" xfId="0" applyFont="1" applyFill="1" applyBorder="1" applyAlignment="1">
      <alignment horizontal="left" vertical="top"/>
    </xf>
    <xf numFmtId="0" fontId="3" fillId="3" borderId="60" xfId="0" applyFont="1" applyFill="1" applyBorder="1" applyAlignment="1">
      <alignment horizontal="center" vertical="center"/>
    </xf>
    <xf numFmtId="49" fontId="5" fillId="0" borderId="1" xfId="0" applyNumberFormat="1" applyFont="1" applyFill="1" applyBorder="1" applyAlignment="1">
      <alignment horizontal="center" vertical="center" wrapText="1"/>
    </xf>
    <xf numFmtId="0" fontId="0" fillId="0" borderId="0" xfId="0" applyAlignment="1">
      <alignment vertical="top" wrapText="1"/>
    </xf>
    <xf numFmtId="49" fontId="0" fillId="2" borderId="0" xfId="0" applyNumberFormat="1" applyFill="1" applyAlignment="1">
      <alignment vertical="center"/>
    </xf>
    <xf numFmtId="49" fontId="0" fillId="0" borderId="0" xfId="0" applyNumberFormat="1" applyAlignment="1">
      <alignment vertical="center"/>
    </xf>
    <xf numFmtId="49" fontId="0" fillId="0" borderId="54" xfId="0" applyNumberFormat="1" applyBorder="1" applyAlignment="1">
      <alignment horizontal="left" vertical="center"/>
    </xf>
    <xf numFmtId="49" fontId="0" fillId="0" borderId="1" xfId="0" applyNumberFormat="1" applyBorder="1" applyAlignment="1">
      <alignment vertical="center" wrapText="1"/>
    </xf>
    <xf numFmtId="49" fontId="27" fillId="4" borderId="1" xfId="0" applyNumberFormat="1" applyFont="1" applyFill="1" applyBorder="1" applyAlignment="1">
      <alignment horizontal="center" vertical="center"/>
    </xf>
    <xf numFmtId="49" fontId="0" fillId="0" borderId="55" xfId="0" applyNumberFormat="1" applyBorder="1" applyAlignment="1">
      <alignment vertical="center" wrapText="1"/>
    </xf>
    <xf numFmtId="49" fontId="3" fillId="6" borderId="54" xfId="0" applyNumberFormat="1" applyFont="1" applyFill="1" applyBorder="1" applyAlignment="1">
      <alignment horizontal="left" vertical="center" wrapText="1"/>
    </xf>
    <xf numFmtId="49" fontId="3" fillId="6" borderId="1" xfId="0" applyNumberFormat="1" applyFont="1" applyFill="1" applyBorder="1" applyAlignment="1">
      <alignment vertical="center" wrapText="1"/>
    </xf>
    <xf numFmtId="49" fontId="35" fillId="6" borderId="1" xfId="0" applyNumberFormat="1" applyFont="1" applyFill="1" applyBorder="1" applyAlignment="1">
      <alignment horizontal="center" vertical="center" wrapText="1"/>
    </xf>
    <xf numFmtId="49" fontId="17" fillId="6" borderId="55" xfId="0" applyNumberFormat="1" applyFont="1" applyFill="1" applyBorder="1" applyAlignment="1">
      <alignment vertical="center" wrapText="1"/>
    </xf>
    <xf numFmtId="49" fontId="5" fillId="0" borderId="54" xfId="0" applyNumberFormat="1" applyFont="1" applyFill="1" applyBorder="1" applyAlignment="1">
      <alignment horizontal="left" vertical="center" wrapText="1"/>
    </xf>
    <xf numFmtId="49" fontId="5" fillId="0" borderId="1" xfId="0" applyNumberFormat="1" applyFont="1" applyFill="1" applyBorder="1" applyAlignment="1">
      <alignment vertical="center" wrapText="1"/>
    </xf>
    <xf numFmtId="49" fontId="12" fillId="22" borderId="55" xfId="0" applyNumberFormat="1" applyFont="1" applyFill="1" applyBorder="1" applyAlignment="1">
      <alignment horizontal="left" vertical="center" wrapText="1"/>
    </xf>
    <xf numFmtId="49" fontId="19" fillId="6" borderId="55" xfId="0" applyNumberFormat="1" applyFont="1" applyFill="1" applyBorder="1" applyAlignment="1">
      <alignment vertical="center" wrapText="1"/>
    </xf>
    <xf numFmtId="49" fontId="12" fillId="22" borderId="55" xfId="0" applyNumberFormat="1" applyFont="1" applyFill="1" applyBorder="1" applyAlignment="1">
      <alignment vertical="center" wrapText="1"/>
    </xf>
    <xf numFmtId="49" fontId="0" fillId="0" borderId="1" xfId="0" applyNumberFormat="1" applyBorder="1" applyAlignment="1">
      <alignment horizontal="left" vertical="center" wrapText="1"/>
    </xf>
    <xf numFmtId="49" fontId="0" fillId="22" borderId="55" xfId="0" applyNumberFormat="1" applyFill="1" applyBorder="1" applyAlignment="1">
      <alignment horizontal="left" vertical="center" wrapText="1"/>
    </xf>
    <xf numFmtId="49" fontId="21" fillId="6" borderId="55" xfId="0" applyNumberFormat="1" applyFont="1" applyFill="1" applyBorder="1" applyAlignment="1">
      <alignment horizontal="left" vertical="center" wrapText="1"/>
    </xf>
    <xf numFmtId="49" fontId="18" fillId="6" borderId="1" xfId="0" applyNumberFormat="1" applyFont="1" applyFill="1" applyBorder="1" applyAlignment="1">
      <alignment horizontal="left" vertical="center" wrapText="1"/>
    </xf>
    <xf numFmtId="49" fontId="5" fillId="0" borderId="0" xfId="0" applyNumberFormat="1" applyFont="1" applyAlignment="1">
      <alignment vertical="center"/>
    </xf>
    <xf numFmtId="49" fontId="5" fillId="0" borderId="1" xfId="0" applyNumberFormat="1" applyFont="1" applyBorder="1" applyAlignment="1">
      <alignment horizontal="left" vertical="center" wrapText="1"/>
    </xf>
    <xf numFmtId="49" fontId="5" fillId="22" borderId="55" xfId="0" applyNumberFormat="1" applyFont="1" applyFill="1" applyBorder="1" applyAlignment="1">
      <alignment horizontal="left" vertical="center" wrapText="1"/>
    </xf>
    <xf numFmtId="0" fontId="51" fillId="18" borderId="29" xfId="0" applyFont="1" applyFill="1" applyBorder="1" applyAlignment="1" applyProtection="1">
      <alignment horizontal="center"/>
    </xf>
    <xf numFmtId="166" fontId="48" fillId="18" borderId="5" xfId="0" applyNumberFormat="1" applyFont="1" applyFill="1" applyBorder="1" applyAlignment="1">
      <alignment wrapText="1"/>
    </xf>
    <xf numFmtId="166" fontId="48" fillId="18" borderId="27" xfId="0" applyNumberFormat="1" applyFont="1" applyFill="1" applyBorder="1" applyAlignment="1">
      <alignment wrapText="1"/>
    </xf>
    <xf numFmtId="166" fontId="48" fillId="18" borderId="18" xfId="0" applyNumberFormat="1" applyFont="1" applyFill="1" applyBorder="1" applyAlignment="1">
      <alignment wrapText="1"/>
    </xf>
    <xf numFmtId="0" fontId="5" fillId="0" borderId="59" xfId="0" applyFont="1" applyBorder="1" applyAlignment="1">
      <alignment vertical="top" wrapText="1"/>
    </xf>
    <xf numFmtId="0" fontId="5" fillId="0" borderId="59" xfId="0" applyFont="1" applyBorder="1" applyAlignment="1">
      <alignment horizontal="left" vertical="top" wrapText="1"/>
    </xf>
    <xf numFmtId="0" fontId="0" fillId="28" borderId="59" xfId="0" applyFill="1" applyBorder="1" applyAlignment="1" applyProtection="1">
      <alignment horizontal="center" vertical="top"/>
      <protection locked="0"/>
    </xf>
    <xf numFmtId="0" fontId="33" fillId="0" borderId="59" xfId="0" applyFont="1" applyBorder="1" applyAlignment="1">
      <alignment vertical="top" wrapText="1"/>
    </xf>
    <xf numFmtId="0" fontId="33" fillId="0" borderId="59" xfId="0" applyFont="1" applyBorder="1" applyAlignment="1">
      <alignment horizontal="left" vertical="top" wrapText="1"/>
    </xf>
    <xf numFmtId="0" fontId="0" fillId="13" borderId="59" xfId="0" applyFill="1" applyBorder="1" applyAlignment="1" applyProtection="1">
      <alignment vertical="top"/>
      <protection locked="0"/>
    </xf>
    <xf numFmtId="0" fontId="6" fillId="0" borderId="60" xfId="0" applyFont="1" applyBorder="1" applyAlignment="1">
      <alignment horizontal="left" vertical="top" wrapText="1"/>
    </xf>
    <xf numFmtId="0" fontId="5" fillId="2" borderId="60" xfId="0" applyFont="1" applyFill="1" applyBorder="1" applyAlignment="1">
      <alignment horizontal="left" vertical="top" wrapText="1"/>
    </xf>
    <xf numFmtId="0" fontId="5" fillId="2" borderId="37" xfId="0" applyFont="1" applyFill="1" applyBorder="1" applyAlignment="1">
      <alignment horizontal="left" vertical="top" wrapText="1"/>
    </xf>
    <xf numFmtId="0" fontId="5" fillId="2" borderId="59" xfId="0" applyFont="1" applyFill="1" applyBorder="1" applyAlignment="1">
      <alignment horizontal="left" vertical="top" wrapText="1"/>
    </xf>
    <xf numFmtId="0" fontId="0" fillId="0" borderId="59" xfId="0" applyBorder="1" applyAlignment="1">
      <alignment vertical="top" wrapText="1"/>
    </xf>
    <xf numFmtId="0" fontId="0" fillId="0" borderId="59" xfId="0" applyBorder="1" applyAlignment="1">
      <alignment horizontal="center" vertical="center"/>
    </xf>
    <xf numFmtId="0" fontId="5" fillId="0" borderId="59" xfId="0" applyFont="1" applyBorder="1" applyAlignment="1">
      <alignment horizontal="center" vertical="center"/>
    </xf>
    <xf numFmtId="0" fontId="0" fillId="0" borderId="59" xfId="0" applyBorder="1" applyAlignment="1">
      <alignment horizontal="center" vertical="center"/>
    </xf>
    <xf numFmtId="0" fontId="45" fillId="30" borderId="13" xfId="0" applyFont="1" applyFill="1" applyBorder="1" applyAlignment="1">
      <alignment horizontal="left" vertical="top" wrapText="1"/>
    </xf>
    <xf numFmtId="0" fontId="45" fillId="30" borderId="33" xfId="0" applyFont="1" applyFill="1" applyBorder="1" applyAlignment="1">
      <alignment horizontal="left" vertical="top" wrapText="1"/>
    </xf>
    <xf numFmtId="0" fontId="45" fillId="30" borderId="22" xfId="0" applyFont="1" applyFill="1" applyBorder="1" applyAlignment="1">
      <alignment horizontal="left" vertical="top" wrapText="1"/>
    </xf>
    <xf numFmtId="0" fontId="2" fillId="0" borderId="0" xfId="0" applyFont="1" applyFill="1" applyBorder="1" applyAlignment="1">
      <alignment horizontal="center" vertical="top" wrapText="1"/>
    </xf>
    <xf numFmtId="0" fontId="5" fillId="15" borderId="59" xfId="0" applyFont="1" applyFill="1" applyBorder="1" applyAlignment="1">
      <alignment wrapText="1"/>
    </xf>
    <xf numFmtId="0" fontId="0" fillId="0" borderId="59" xfId="0" applyBorder="1" applyAlignment="1">
      <alignment horizontal="center" vertical="center"/>
    </xf>
    <xf numFmtId="0" fontId="5" fillId="0" borderId="60" xfId="0" applyFont="1" applyBorder="1" applyAlignment="1">
      <alignment vertical="top" wrapText="1"/>
    </xf>
    <xf numFmtId="0" fontId="0" fillId="28" borderId="33" xfId="0" applyFill="1" applyBorder="1" applyAlignment="1" applyProtection="1">
      <alignment horizontal="center" vertical="center"/>
      <protection locked="0"/>
    </xf>
    <xf numFmtId="0" fontId="0" fillId="13" borderId="61" xfId="0" applyFill="1" applyBorder="1" applyAlignment="1" applyProtection="1">
      <alignment vertical="top"/>
      <protection locked="0"/>
    </xf>
    <xf numFmtId="49" fontId="12" fillId="26" borderId="60" xfId="0" applyNumberFormat="1" applyFont="1" applyFill="1" applyBorder="1" applyAlignment="1" applyProtection="1">
      <alignment horizontal="left" vertical="top" wrapText="1"/>
      <protection locked="0"/>
    </xf>
    <xf numFmtId="0" fontId="0" fillId="0" borderId="59" xfId="0" applyFill="1" applyBorder="1" applyAlignment="1">
      <alignment horizontal="center" vertical="center"/>
    </xf>
    <xf numFmtId="0" fontId="0" fillId="0" borderId="59" xfId="0" applyBorder="1" applyProtection="1">
      <protection locked="0"/>
    </xf>
    <xf numFmtId="49" fontId="45" fillId="30" borderId="59" xfId="0" applyNumberFormat="1" applyFont="1" applyFill="1" applyBorder="1" applyAlignment="1">
      <alignment horizontal="left" vertical="top" wrapText="1"/>
    </xf>
    <xf numFmtId="0" fontId="43" fillId="30" borderId="59" xfId="0" applyFont="1" applyFill="1" applyBorder="1" applyAlignment="1">
      <alignment horizontal="center" vertical="center" wrapText="1"/>
    </xf>
    <xf numFmtId="0" fontId="5" fillId="28" borderId="59" xfId="0" applyFont="1" applyFill="1" applyBorder="1" applyAlignment="1" applyProtection="1">
      <alignment horizontal="center" vertical="center"/>
      <protection locked="0"/>
    </xf>
    <xf numFmtId="49" fontId="12" fillId="8" borderId="60" xfId="0" applyNumberFormat="1" applyFont="1" applyFill="1" applyBorder="1" applyAlignment="1" applyProtection="1">
      <alignment horizontal="left" vertical="top" wrapText="1"/>
      <protection locked="0"/>
    </xf>
    <xf numFmtId="0" fontId="5" fillId="2" borderId="59" xfId="0" applyFont="1" applyFill="1" applyBorder="1" applyAlignment="1">
      <alignment horizontal="center" vertical="center" wrapText="1"/>
    </xf>
    <xf numFmtId="49" fontId="0" fillId="28" borderId="59" xfId="0" applyNumberFormat="1" applyFill="1" applyBorder="1" applyAlignment="1" applyProtection="1">
      <alignment horizontal="center" vertical="center"/>
      <protection locked="0"/>
    </xf>
    <xf numFmtId="49" fontId="0" fillId="26" borderId="59" xfId="0" applyNumberFormat="1" applyFill="1" applyBorder="1" applyAlignment="1" applyProtection="1">
      <alignment horizontal="left" vertical="top" wrapText="1"/>
      <protection locked="0"/>
    </xf>
    <xf numFmtId="0" fontId="5" fillId="0" borderId="59" xfId="0" applyFont="1" applyFill="1" applyBorder="1" applyAlignment="1">
      <alignment horizontal="left" vertical="top" wrapText="1"/>
    </xf>
    <xf numFmtId="49" fontId="35" fillId="6" borderId="59" xfId="0" applyNumberFormat="1" applyFont="1" applyFill="1" applyBorder="1" applyAlignment="1">
      <alignment horizontal="center" vertical="center" wrapText="1"/>
    </xf>
    <xf numFmtId="0" fontId="11" fillId="2" borderId="8" xfId="0" applyFont="1" applyFill="1" applyBorder="1" applyAlignment="1">
      <alignment horizontal="center" vertical="top" wrapText="1"/>
    </xf>
    <xf numFmtId="0" fontId="5" fillId="2" borderId="6" xfId="0" applyFont="1" applyFill="1" applyBorder="1" applyAlignment="1">
      <alignment horizontal="left" vertical="top" wrapText="1"/>
    </xf>
    <xf numFmtId="0" fontId="0" fillId="28" borderId="6" xfId="0" applyFill="1" applyBorder="1" applyAlignment="1" applyProtection="1">
      <alignment horizontal="center" vertical="center"/>
      <protection locked="0"/>
    </xf>
    <xf numFmtId="49" fontId="12" fillId="26" borderId="28" xfId="0" applyNumberFormat="1" applyFont="1" applyFill="1" applyBorder="1" applyAlignment="1" applyProtection="1">
      <alignment horizontal="left" vertical="top" wrapText="1"/>
      <protection locked="0"/>
    </xf>
    <xf numFmtId="0" fontId="0" fillId="13" borderId="62" xfId="0" applyFill="1" applyBorder="1" applyProtection="1">
      <protection locked="0"/>
    </xf>
    <xf numFmtId="0" fontId="5" fillId="0" borderId="0" xfId="0" applyFont="1" applyAlignment="1">
      <alignment vertical="center" wrapText="1"/>
    </xf>
    <xf numFmtId="49" fontId="8" fillId="15" borderId="0" xfId="0" applyNumberFormat="1" applyFont="1" applyFill="1" applyBorder="1" applyAlignment="1">
      <alignment horizontal="center" vertical="center"/>
    </xf>
    <xf numFmtId="49" fontId="17" fillId="15" borderId="0" xfId="0" applyNumberFormat="1" applyFont="1" applyFill="1" applyBorder="1" applyAlignment="1">
      <alignment vertical="center" wrapText="1"/>
    </xf>
    <xf numFmtId="49" fontId="12" fillId="15" borderId="0" xfId="0" applyNumberFormat="1" applyFont="1" applyFill="1" applyBorder="1" applyAlignment="1">
      <alignment horizontal="left" vertical="center" wrapText="1"/>
    </xf>
    <xf numFmtId="49" fontId="19" fillId="15" borderId="0" xfId="0" applyNumberFormat="1" applyFont="1" applyFill="1" applyBorder="1" applyAlignment="1">
      <alignment vertical="center" wrapText="1"/>
    </xf>
    <xf numFmtId="49" fontId="12" fillId="15" borderId="0" xfId="0" applyNumberFormat="1" applyFont="1" applyFill="1" applyBorder="1" applyAlignment="1">
      <alignment vertical="center" wrapText="1"/>
    </xf>
    <xf numFmtId="49" fontId="0" fillId="15" borderId="0" xfId="0" applyNumberFormat="1" applyFill="1" applyBorder="1" applyAlignment="1">
      <alignment horizontal="left" vertical="center" wrapText="1"/>
    </xf>
    <xf numFmtId="49" fontId="21" fillId="15" borderId="0" xfId="0" applyNumberFormat="1" applyFont="1" applyFill="1" applyBorder="1" applyAlignment="1">
      <alignment horizontal="left" vertical="center" wrapText="1"/>
    </xf>
    <xf numFmtId="49" fontId="5" fillId="15" borderId="0" xfId="0" applyNumberFormat="1" applyFont="1" applyFill="1" applyBorder="1" applyAlignment="1">
      <alignment horizontal="left" vertical="center" wrapText="1"/>
    </xf>
    <xf numFmtId="0" fontId="0" fillId="15" borderId="0" xfId="0" applyFill="1" applyBorder="1" applyAlignment="1">
      <alignment vertical="center" wrapText="1"/>
    </xf>
    <xf numFmtId="49" fontId="0" fillId="15" borderId="63" xfId="0" applyNumberFormat="1" applyFill="1" applyBorder="1" applyAlignment="1">
      <alignment vertical="center" wrapText="1"/>
    </xf>
    <xf numFmtId="49" fontId="27" fillId="4" borderId="1" xfId="0" applyNumberFormat="1" applyFont="1" applyFill="1" applyBorder="1" applyAlignment="1">
      <alignment horizontal="left" vertical="center"/>
    </xf>
    <xf numFmtId="49" fontId="6" fillId="2" borderId="4" xfId="0" applyNumberFormat="1" applyFont="1" applyFill="1" applyBorder="1" applyAlignment="1">
      <alignment horizontal="center" vertical="top" wrapText="1"/>
    </xf>
    <xf numFmtId="0" fontId="0" fillId="0" borderId="59" xfId="0" applyBorder="1" applyAlignment="1">
      <alignment horizontal="center"/>
    </xf>
    <xf numFmtId="0" fontId="0" fillId="0" borderId="0" xfId="0" applyAlignment="1">
      <alignment vertical="top" wrapText="1"/>
    </xf>
    <xf numFmtId="0" fontId="36" fillId="15" borderId="33" xfId="0" applyFont="1" applyFill="1" applyBorder="1" applyAlignment="1" applyProtection="1">
      <alignment horizontal="left" vertical="center" wrapText="1"/>
    </xf>
    <xf numFmtId="0" fontId="38" fillId="15" borderId="59" xfId="0" applyFont="1" applyFill="1" applyBorder="1" applyAlignment="1" applyProtection="1">
      <alignment vertical="center"/>
    </xf>
    <xf numFmtId="0" fontId="9" fillId="19" borderId="39" xfId="0" applyFont="1" applyFill="1" applyBorder="1" applyAlignment="1">
      <alignment horizontal="center" vertical="top"/>
    </xf>
    <xf numFmtId="0" fontId="9" fillId="19" borderId="21" xfId="0" applyFont="1" applyFill="1" applyBorder="1" applyAlignment="1">
      <alignment horizontal="center" vertical="top"/>
    </xf>
    <xf numFmtId="0" fontId="9" fillId="19" borderId="40" xfId="0" applyFont="1" applyFill="1" applyBorder="1" applyAlignment="1">
      <alignment horizontal="center" vertical="top"/>
    </xf>
    <xf numFmtId="0" fontId="5" fillId="2" borderId="0" xfId="0" applyFont="1" applyFill="1" applyAlignment="1">
      <alignment horizontal="left" vertical="top" wrapText="1"/>
    </xf>
    <xf numFmtId="0" fontId="4" fillId="2" borderId="0" xfId="0" applyFont="1" applyFill="1" applyAlignment="1">
      <alignment horizontal="left" vertical="top" wrapText="1"/>
    </xf>
    <xf numFmtId="0" fontId="4" fillId="9" borderId="41" xfId="0" applyFont="1" applyFill="1" applyBorder="1" applyAlignment="1">
      <alignment horizontal="center" wrapText="1"/>
    </xf>
    <xf numFmtId="0" fontId="4" fillId="9" borderId="7" xfId="0" applyFont="1" applyFill="1" applyBorder="1" applyAlignment="1">
      <alignment horizontal="center" wrapText="1"/>
    </xf>
    <xf numFmtId="0" fontId="4" fillId="23" borderId="0" xfId="0" applyFont="1" applyFill="1" applyBorder="1" applyAlignment="1">
      <alignment horizontal="left" wrapText="1"/>
    </xf>
    <xf numFmtId="0" fontId="5" fillId="0" borderId="0" xfId="0" applyFont="1" applyFill="1" applyAlignment="1">
      <alignment horizontal="left" vertical="center" wrapText="1"/>
    </xf>
    <xf numFmtId="0" fontId="4" fillId="0" borderId="0" xfId="0" applyFont="1" applyFill="1" applyAlignment="1">
      <alignment horizontal="left" vertical="center" wrapText="1"/>
    </xf>
    <xf numFmtId="0" fontId="0" fillId="2" borderId="0" xfId="0" applyFill="1" applyAlignment="1">
      <alignment horizontal="left" vertical="top" wrapText="1"/>
    </xf>
    <xf numFmtId="0" fontId="9" fillId="22" borderId="39" xfId="0" applyFont="1" applyFill="1" applyBorder="1" applyAlignment="1">
      <alignment horizontal="center" vertical="top"/>
    </xf>
    <xf numFmtId="0" fontId="9" fillId="22" borderId="21" xfId="0" applyFont="1" applyFill="1" applyBorder="1" applyAlignment="1">
      <alignment horizontal="center" vertical="top"/>
    </xf>
    <xf numFmtId="0" fontId="9" fillId="22" borderId="40" xfId="0" applyFont="1" applyFill="1" applyBorder="1" applyAlignment="1">
      <alignment horizontal="center" vertical="top"/>
    </xf>
    <xf numFmtId="0" fontId="8" fillId="3" borderId="16" xfId="0" applyFont="1" applyFill="1" applyBorder="1" applyAlignment="1">
      <alignment horizontal="center"/>
    </xf>
    <xf numFmtId="0" fontId="8" fillId="3" borderId="17" xfId="0" applyFont="1" applyFill="1" applyBorder="1" applyAlignment="1">
      <alignment horizontal="center"/>
    </xf>
    <xf numFmtId="0" fontId="8" fillId="3" borderId="38" xfId="0" applyFont="1" applyFill="1" applyBorder="1" applyAlignment="1">
      <alignment horizontal="center"/>
    </xf>
    <xf numFmtId="0" fontId="9" fillId="26" borderId="39" xfId="0" applyFont="1" applyFill="1" applyBorder="1" applyAlignment="1">
      <alignment horizontal="center" vertical="top"/>
    </xf>
    <xf numFmtId="0" fontId="9" fillId="26" borderId="21" xfId="0" applyFont="1" applyFill="1" applyBorder="1" applyAlignment="1">
      <alignment horizontal="center" vertical="top"/>
    </xf>
    <xf numFmtId="0" fontId="9" fillId="26" borderId="40" xfId="0" applyFont="1" applyFill="1" applyBorder="1" applyAlignment="1">
      <alignment horizontal="center" vertical="top"/>
    </xf>
    <xf numFmtId="0" fontId="5" fillId="0" borderId="0" xfId="0" applyFont="1" applyFill="1" applyBorder="1" applyAlignment="1">
      <alignment horizontal="left" vertical="top" wrapText="1"/>
    </xf>
    <xf numFmtId="0" fontId="4" fillId="0" borderId="0" xfId="0" applyFont="1" applyFill="1" applyBorder="1" applyAlignment="1">
      <alignment horizontal="left" vertical="top" wrapText="1"/>
    </xf>
    <xf numFmtId="0" fontId="5" fillId="0" borderId="0" xfId="0" applyFont="1" applyFill="1" applyAlignment="1">
      <alignment horizontal="left" wrapText="1"/>
    </xf>
    <xf numFmtId="0" fontId="4" fillId="0" borderId="0" xfId="0" applyFont="1" applyFill="1" applyAlignment="1">
      <alignment horizontal="left" wrapText="1"/>
    </xf>
    <xf numFmtId="0" fontId="5" fillId="2" borderId="0" xfId="0" applyFont="1" applyFill="1" applyAlignment="1">
      <alignment horizontal="left" wrapText="1"/>
    </xf>
    <xf numFmtId="0" fontId="0" fillId="2" borderId="0" xfId="0" applyFill="1" applyAlignment="1">
      <alignment horizontal="left" wrapText="1"/>
    </xf>
    <xf numFmtId="0" fontId="0" fillId="0" borderId="0" xfId="0" applyFill="1" applyBorder="1" applyAlignment="1">
      <alignment horizontal="center" wrapText="1"/>
    </xf>
    <xf numFmtId="0" fontId="5" fillId="0" borderId="0" xfId="0" applyFont="1" applyAlignment="1">
      <alignment vertical="top" wrapText="1"/>
    </xf>
    <xf numFmtId="0" fontId="0" fillId="0" borderId="0" xfId="0" applyAlignment="1">
      <alignment vertical="top" wrapText="1"/>
    </xf>
    <xf numFmtId="0" fontId="33" fillId="0" borderId="0" xfId="0" applyFont="1" applyBorder="1" applyAlignment="1">
      <alignment horizontal="left" vertical="top" wrapText="1"/>
    </xf>
    <xf numFmtId="0" fontId="57" fillId="0" borderId="0" xfId="0" applyFont="1" applyBorder="1" applyAlignment="1">
      <alignment horizontal="left" vertical="top" wrapText="1"/>
    </xf>
    <xf numFmtId="0" fontId="33" fillId="0" borderId="0" xfId="0" applyFont="1" applyBorder="1" applyAlignment="1">
      <alignment horizontal="left" vertical="top"/>
    </xf>
    <xf numFmtId="0" fontId="33" fillId="22" borderId="41" xfId="0" applyFont="1" applyFill="1" applyBorder="1" applyAlignment="1" applyProtection="1">
      <alignment horizontal="left" vertical="top" wrapText="1"/>
      <protection locked="0"/>
    </xf>
    <xf numFmtId="0" fontId="33" fillId="22" borderId="20" xfId="0" applyFont="1" applyFill="1" applyBorder="1" applyAlignment="1" applyProtection="1">
      <alignment horizontal="left" vertical="top" wrapText="1"/>
      <protection locked="0"/>
    </xf>
    <xf numFmtId="0" fontId="33" fillId="22" borderId="7" xfId="0" applyFont="1" applyFill="1" applyBorder="1" applyAlignment="1" applyProtection="1">
      <alignment horizontal="left" vertical="top" wrapText="1"/>
      <protection locked="0"/>
    </xf>
    <xf numFmtId="0" fontId="34" fillId="0" borderId="29" xfId="0" applyFont="1" applyFill="1" applyBorder="1" applyAlignment="1" applyProtection="1">
      <alignment horizontal="left" vertical="top"/>
    </xf>
    <xf numFmtId="0" fontId="36" fillId="15" borderId="1" xfId="0" applyFont="1" applyFill="1" applyBorder="1" applyAlignment="1" applyProtection="1">
      <alignment horizontal="left" vertical="center" wrapText="1"/>
    </xf>
    <xf numFmtId="0" fontId="37" fillId="18" borderId="1" xfId="0" applyFont="1" applyFill="1" applyBorder="1" applyAlignment="1" applyProtection="1">
      <alignment horizontal="center" vertical="center" wrapText="1"/>
    </xf>
    <xf numFmtId="0" fontId="36" fillId="15" borderId="36" xfId="0" applyFont="1" applyFill="1" applyBorder="1" applyAlignment="1" applyProtection="1">
      <alignment horizontal="left" vertical="center" wrapText="1"/>
    </xf>
    <xf numFmtId="0" fontId="36" fillId="15" borderId="42" xfId="0" applyFont="1" applyFill="1" applyBorder="1" applyAlignment="1" applyProtection="1">
      <alignment horizontal="left" vertical="center" wrapText="1"/>
    </xf>
    <xf numFmtId="0" fontId="51" fillId="18" borderId="29" xfId="0" applyFont="1" applyFill="1" applyBorder="1" applyAlignment="1" applyProtection="1">
      <alignment horizontal="center"/>
    </xf>
    <xf numFmtId="0" fontId="51" fillId="18" borderId="41" xfId="0" applyFont="1" applyFill="1" applyBorder="1" applyAlignment="1" applyProtection="1">
      <alignment horizontal="center"/>
    </xf>
    <xf numFmtId="0" fontId="51" fillId="18" borderId="20" xfId="0" applyFont="1" applyFill="1" applyBorder="1" applyAlignment="1" applyProtection="1">
      <alignment horizontal="center"/>
    </xf>
    <xf numFmtId="0" fontId="51" fillId="18" borderId="7" xfId="0" applyFont="1" applyFill="1" applyBorder="1" applyAlignment="1" applyProtection="1">
      <alignment horizontal="center"/>
    </xf>
    <xf numFmtId="0" fontId="37" fillId="18" borderId="19" xfId="0" applyFont="1" applyFill="1" applyBorder="1" applyAlignment="1" applyProtection="1">
      <alignment horizontal="center" vertical="center" wrapText="1"/>
    </xf>
    <xf numFmtId="0" fontId="37" fillId="18" borderId="6" xfId="0" applyFont="1" applyFill="1" applyBorder="1" applyAlignment="1" applyProtection="1">
      <alignment horizontal="center" vertical="center" wrapText="1"/>
    </xf>
    <xf numFmtId="0" fontId="8" fillId="3" borderId="46" xfId="0" applyFont="1" applyFill="1" applyBorder="1" applyAlignment="1" applyProtection="1">
      <alignment horizontal="center"/>
    </xf>
    <xf numFmtId="0" fontId="8" fillId="3" borderId="28" xfId="0" applyFont="1" applyFill="1" applyBorder="1" applyAlignment="1" applyProtection="1">
      <alignment horizontal="center"/>
    </xf>
    <xf numFmtId="0" fontId="36" fillId="15" borderId="13" xfId="0" applyFont="1" applyFill="1" applyBorder="1" applyAlignment="1" applyProtection="1">
      <alignment horizontal="left" vertical="center" wrapText="1"/>
    </xf>
    <xf numFmtId="0" fontId="36" fillId="15" borderId="22" xfId="0" applyFont="1" applyFill="1" applyBorder="1" applyAlignment="1" applyProtection="1">
      <alignment horizontal="left" vertical="center" wrapText="1"/>
    </xf>
    <xf numFmtId="0" fontId="38" fillId="15" borderId="59" xfId="0" applyFont="1" applyFill="1" applyBorder="1" applyAlignment="1" applyProtection="1">
      <alignment horizontal="center" vertical="center" wrapText="1"/>
    </xf>
    <xf numFmtId="0" fontId="37" fillId="18" borderId="32" xfId="0" applyFont="1" applyFill="1" applyBorder="1" applyAlignment="1" applyProtection="1">
      <alignment horizontal="center" vertical="center" wrapText="1"/>
    </xf>
    <xf numFmtId="0" fontId="37" fillId="18" borderId="24" xfId="0" applyFont="1" applyFill="1" applyBorder="1" applyAlignment="1" applyProtection="1">
      <alignment horizontal="center" vertical="center" wrapText="1"/>
    </xf>
    <xf numFmtId="0" fontId="37" fillId="18" borderId="43" xfId="0" applyFont="1" applyFill="1" applyBorder="1" applyAlignment="1" applyProtection="1">
      <alignment horizontal="center" vertical="center" wrapText="1"/>
    </xf>
    <xf numFmtId="0" fontId="37" fillId="18" borderId="23" xfId="0" applyFont="1" applyFill="1" applyBorder="1" applyAlignment="1" applyProtection="1">
      <alignment horizontal="center" vertical="center" wrapText="1"/>
    </xf>
    <xf numFmtId="0" fontId="37" fillId="18" borderId="13" xfId="0" applyFont="1" applyFill="1" applyBorder="1" applyAlignment="1" applyProtection="1">
      <alignment horizontal="center" vertical="center" wrapText="1"/>
    </xf>
    <xf numFmtId="0" fontId="37" fillId="18" borderId="22" xfId="0" applyFont="1" applyFill="1" applyBorder="1" applyAlignment="1" applyProtection="1">
      <alignment horizontal="center" vertical="center" wrapText="1"/>
    </xf>
    <xf numFmtId="0" fontId="30" fillId="24" borderId="59" xfId="0" applyFont="1" applyFill="1" applyBorder="1" applyAlignment="1">
      <alignment horizontal="center" vertical="center"/>
    </xf>
    <xf numFmtId="0" fontId="0" fillId="0" borderId="59" xfId="0" applyBorder="1" applyAlignment="1">
      <alignment horizontal="center" vertical="center"/>
    </xf>
    <xf numFmtId="0" fontId="4" fillId="32" borderId="60" xfId="0" applyFont="1" applyFill="1" applyBorder="1" applyAlignment="1">
      <alignment horizontal="center" vertical="center" wrapText="1"/>
    </xf>
    <xf numFmtId="0" fontId="0" fillId="0" borderId="33" xfId="0" applyBorder="1" applyAlignment="1">
      <alignment horizontal="center" vertical="center" wrapText="1"/>
    </xf>
    <xf numFmtId="0" fontId="0" fillId="0" borderId="61" xfId="0" applyBorder="1" applyAlignment="1">
      <alignment horizontal="center" vertical="center" wrapText="1"/>
    </xf>
    <xf numFmtId="0" fontId="4" fillId="21" borderId="13" xfId="0" applyFont="1" applyFill="1" applyBorder="1" applyAlignment="1">
      <alignment horizontal="center" vertical="center"/>
    </xf>
    <xf numFmtId="0" fontId="4" fillId="21" borderId="33" xfId="0" applyFont="1" applyFill="1" applyBorder="1" applyAlignment="1">
      <alignment horizontal="center" vertical="center"/>
    </xf>
    <xf numFmtId="0" fontId="4" fillId="21" borderId="22" xfId="0" applyFont="1" applyFill="1" applyBorder="1" applyAlignment="1">
      <alignment horizontal="center" vertical="center"/>
    </xf>
    <xf numFmtId="0" fontId="30" fillId="17" borderId="59" xfId="0" applyFont="1" applyFill="1" applyBorder="1" applyAlignment="1">
      <alignment horizontal="center" vertical="center"/>
    </xf>
    <xf numFmtId="0" fontId="30" fillId="19" borderId="43" xfId="0" applyFont="1" applyFill="1" applyBorder="1" applyAlignment="1">
      <alignment horizontal="center" vertical="center"/>
    </xf>
    <xf numFmtId="0" fontId="30" fillId="19" borderId="28" xfId="0" applyFont="1" applyFill="1" applyBorder="1" applyAlignment="1">
      <alignment horizontal="center" vertical="center"/>
    </xf>
    <xf numFmtId="0" fontId="53" fillId="18" borderId="1" xfId="0" applyFont="1" applyFill="1" applyBorder="1" applyAlignment="1" applyProtection="1">
      <alignment horizontal="center"/>
    </xf>
    <xf numFmtId="165" fontId="42" fillId="0" borderId="1" xfId="0" applyNumberFormat="1" applyFont="1" applyFill="1" applyBorder="1" applyAlignment="1" applyProtection="1">
      <alignment vertical="top" wrapText="1"/>
    </xf>
    <xf numFmtId="0" fontId="36" fillId="15" borderId="44" xfId="0" applyFont="1" applyFill="1" applyBorder="1" applyAlignment="1" applyProtection="1">
      <alignment horizontal="left" vertical="top" wrapText="1"/>
    </xf>
    <xf numFmtId="0" fontId="42" fillId="0" borderId="1" xfId="0" applyFont="1" applyFill="1" applyBorder="1" applyAlignment="1" applyProtection="1">
      <alignment vertical="top" wrapText="1"/>
    </xf>
    <xf numFmtId="165" fontId="15" fillId="0" borderId="13" xfId="0" applyNumberFormat="1" applyFont="1" applyFill="1" applyBorder="1" applyAlignment="1" applyProtection="1">
      <alignment horizontal="left" vertical="top"/>
    </xf>
    <xf numFmtId="165" fontId="15" fillId="0" borderId="33" xfId="0" applyNumberFormat="1" applyFont="1" applyFill="1" applyBorder="1" applyAlignment="1" applyProtection="1">
      <alignment horizontal="left" vertical="top"/>
    </xf>
    <xf numFmtId="165" fontId="15" fillId="0" borderId="22" xfId="0" applyNumberFormat="1" applyFont="1" applyFill="1" applyBorder="1" applyAlignment="1" applyProtection="1">
      <alignment horizontal="left" vertical="top"/>
    </xf>
    <xf numFmtId="165" fontId="15" fillId="0" borderId="1" xfId="0" applyNumberFormat="1" applyFont="1" applyFill="1" applyBorder="1" applyAlignment="1" applyProtection="1">
      <alignment horizontal="left" vertical="top"/>
    </xf>
    <xf numFmtId="0" fontId="8" fillId="3" borderId="45" xfId="0" applyFont="1" applyFill="1" applyBorder="1" applyAlignment="1" applyProtection="1">
      <alignment horizontal="center"/>
    </xf>
    <xf numFmtId="0" fontId="8" fillId="3" borderId="0" xfId="0" applyFont="1" applyFill="1" applyBorder="1" applyAlignment="1" applyProtection="1">
      <alignment horizontal="center"/>
    </xf>
    <xf numFmtId="0" fontId="54" fillId="0" borderId="13" xfId="0" applyFont="1" applyFill="1" applyBorder="1" applyAlignment="1" applyProtection="1">
      <alignment horizontal="left" vertical="center"/>
      <protection locked="0"/>
    </xf>
    <xf numFmtId="0" fontId="54" fillId="0" borderId="33" xfId="0" applyFont="1" applyFill="1" applyBorder="1" applyAlignment="1" applyProtection="1">
      <alignment horizontal="left" vertical="center"/>
      <protection locked="0"/>
    </xf>
    <xf numFmtId="0" fontId="54" fillId="0" borderId="22" xfId="0" applyFont="1" applyFill="1" applyBorder="1" applyAlignment="1" applyProtection="1">
      <alignment horizontal="left" vertical="center"/>
      <protection locked="0"/>
    </xf>
    <xf numFmtId="0" fontId="23" fillId="7" borderId="13" xfId="0" applyFont="1" applyFill="1" applyBorder="1" applyAlignment="1" applyProtection="1">
      <alignment horizontal="left" vertical="center" wrapText="1"/>
      <protection locked="0"/>
    </xf>
    <xf numFmtId="0" fontId="23" fillId="7" borderId="33" xfId="0" applyFont="1" applyFill="1" applyBorder="1" applyAlignment="1" applyProtection="1">
      <alignment horizontal="left" vertical="center" wrapText="1"/>
      <protection locked="0"/>
    </xf>
    <xf numFmtId="0" fontId="23" fillId="7" borderId="22" xfId="0" applyFont="1" applyFill="1" applyBorder="1" applyAlignment="1" applyProtection="1">
      <alignment horizontal="left" vertical="center" wrapText="1"/>
      <protection locked="0"/>
    </xf>
    <xf numFmtId="0" fontId="8" fillId="3" borderId="0" xfId="0" applyFont="1" applyFill="1" applyAlignment="1">
      <alignment horizontal="center"/>
    </xf>
    <xf numFmtId="165" fontId="54" fillId="0" borderId="13" xfId="0" applyNumberFormat="1" applyFont="1" applyFill="1" applyBorder="1" applyAlignment="1" applyProtection="1">
      <alignment horizontal="left" vertical="center"/>
    </xf>
    <xf numFmtId="165" fontId="54" fillId="0" borderId="33" xfId="0" applyNumberFormat="1" applyFont="1" applyFill="1" applyBorder="1" applyAlignment="1" applyProtection="1">
      <alignment horizontal="left" vertical="center"/>
    </xf>
    <xf numFmtId="165" fontId="54" fillId="0" borderId="22" xfId="0" applyNumberFormat="1" applyFont="1" applyFill="1" applyBorder="1" applyAlignment="1" applyProtection="1">
      <alignment horizontal="left" vertical="center"/>
    </xf>
    <xf numFmtId="0" fontId="23" fillId="22" borderId="13" xfId="0" applyFont="1" applyFill="1" applyBorder="1" applyAlignment="1" applyProtection="1">
      <alignment vertical="center" wrapText="1"/>
      <protection locked="0"/>
    </xf>
    <xf numFmtId="0" fontId="23" fillId="22" borderId="33" xfId="0" applyFont="1" applyFill="1" applyBorder="1" applyAlignment="1" applyProtection="1">
      <alignment vertical="center" wrapText="1"/>
      <protection locked="0"/>
    </xf>
    <xf numFmtId="0" fontId="23" fillId="22" borderId="22" xfId="0" applyFont="1" applyFill="1" applyBorder="1" applyAlignment="1" applyProtection="1">
      <alignment vertical="center" wrapText="1"/>
      <protection locked="0"/>
    </xf>
    <xf numFmtId="0" fontId="22" fillId="7" borderId="13" xfId="0" applyFont="1" applyFill="1" applyBorder="1" applyAlignment="1" applyProtection="1">
      <alignment horizontal="left" vertical="center" wrapText="1"/>
      <protection locked="0"/>
    </xf>
    <xf numFmtId="0" fontId="22" fillId="7" borderId="33" xfId="0" applyFont="1" applyFill="1" applyBorder="1" applyAlignment="1" applyProtection="1">
      <alignment horizontal="left" vertical="center" wrapText="1"/>
      <protection locked="0"/>
    </xf>
    <xf numFmtId="0" fontId="22" fillId="7" borderId="22" xfId="0" applyFont="1" applyFill="1" applyBorder="1" applyAlignment="1" applyProtection="1">
      <alignment horizontal="left" vertical="center" wrapText="1"/>
      <protection locked="0"/>
    </xf>
    <xf numFmtId="0" fontId="16" fillId="4" borderId="13" xfId="0" applyFont="1" applyFill="1" applyBorder="1" applyAlignment="1" applyProtection="1">
      <alignment horizontal="center" wrapText="1"/>
    </xf>
    <xf numFmtId="0" fontId="16" fillId="4" borderId="22" xfId="0" applyFont="1" applyFill="1" applyBorder="1" applyAlignment="1" applyProtection="1">
      <alignment horizontal="center" wrapText="1"/>
    </xf>
    <xf numFmtId="0" fontId="49" fillId="27" borderId="13" xfId="0" applyFont="1" applyFill="1" applyBorder="1" applyAlignment="1" applyProtection="1">
      <alignment horizontal="center" vertical="center" wrapText="1"/>
    </xf>
    <xf numFmtId="0" fontId="49" fillId="27" borderId="22" xfId="0" applyFont="1" applyFill="1" applyBorder="1" applyAlignment="1" applyProtection="1">
      <alignment horizontal="center" vertical="center" wrapText="1"/>
    </xf>
    <xf numFmtId="0" fontId="23" fillId="0" borderId="13" xfId="0" applyFont="1" applyFill="1" applyBorder="1" applyAlignment="1" applyProtection="1">
      <alignment horizontal="left" vertical="top" wrapText="1"/>
      <protection locked="0"/>
    </xf>
    <xf numFmtId="0" fontId="23" fillId="0" borderId="33" xfId="0" applyFont="1" applyFill="1" applyBorder="1" applyAlignment="1" applyProtection="1">
      <alignment horizontal="left" vertical="top" wrapText="1"/>
      <protection locked="0"/>
    </xf>
    <xf numFmtId="0" fontId="23" fillId="0" borderId="22" xfId="0" applyFont="1" applyFill="1" applyBorder="1" applyAlignment="1" applyProtection="1">
      <alignment horizontal="left" vertical="top" wrapText="1"/>
      <protection locked="0"/>
    </xf>
    <xf numFmtId="0" fontId="55" fillId="7" borderId="13" xfId="0" applyFont="1" applyFill="1" applyBorder="1" applyAlignment="1" applyProtection="1">
      <alignment horizontal="center" vertical="center" wrapText="1"/>
      <protection locked="0"/>
    </xf>
    <xf numFmtId="0" fontId="55" fillId="7" borderId="22" xfId="0" applyFont="1" applyFill="1" applyBorder="1" applyAlignment="1" applyProtection="1">
      <alignment horizontal="center" vertical="center" wrapText="1"/>
      <protection locked="0"/>
    </xf>
    <xf numFmtId="0" fontId="8" fillId="3" borderId="25" xfId="0" applyFont="1" applyFill="1" applyBorder="1" applyAlignment="1" applyProtection="1">
      <alignment horizontal="center"/>
    </xf>
    <xf numFmtId="0" fontId="8" fillId="3" borderId="44" xfId="0" applyFont="1" applyFill="1" applyBorder="1" applyAlignment="1" applyProtection="1">
      <alignment horizontal="center"/>
    </xf>
    <xf numFmtId="49" fontId="8" fillId="3" borderId="51" xfId="0" applyNumberFormat="1" applyFont="1" applyFill="1" applyBorder="1" applyAlignment="1">
      <alignment horizontal="center" vertical="center"/>
    </xf>
    <xf numFmtId="49" fontId="8" fillId="3" borderId="52" xfId="0" applyNumberFormat="1" applyFont="1" applyFill="1" applyBorder="1" applyAlignment="1">
      <alignment horizontal="center" vertical="center"/>
    </xf>
    <xf numFmtId="49" fontId="8" fillId="3" borderId="53" xfId="0" applyNumberFormat="1" applyFont="1" applyFill="1" applyBorder="1" applyAlignment="1">
      <alignment horizontal="center" vertical="center"/>
    </xf>
    <xf numFmtId="0" fontId="45" fillId="30" borderId="13" xfId="0" applyFont="1" applyFill="1" applyBorder="1" applyAlignment="1">
      <alignment horizontal="left" vertical="top"/>
    </xf>
    <xf numFmtId="0" fontId="45" fillId="30" borderId="33" xfId="0" applyFont="1" applyFill="1" applyBorder="1" applyAlignment="1">
      <alignment horizontal="left" vertical="top"/>
    </xf>
    <xf numFmtId="0" fontId="45" fillId="30" borderId="22" xfId="0" applyFont="1" applyFill="1" applyBorder="1" applyAlignment="1">
      <alignment horizontal="left" vertical="top"/>
    </xf>
    <xf numFmtId="0" fontId="2" fillId="10" borderId="12" xfId="0" applyFont="1" applyFill="1" applyBorder="1" applyAlignment="1">
      <alignment horizontal="left" vertical="top" wrapText="1"/>
    </xf>
    <xf numFmtId="49" fontId="2" fillId="10" borderId="33" xfId="0" applyNumberFormat="1" applyFont="1" applyFill="1" applyBorder="1" applyAlignment="1">
      <alignment horizontal="left" vertical="top" wrapText="1"/>
    </xf>
    <xf numFmtId="0" fontId="2" fillId="10" borderId="61" xfId="0" applyFont="1" applyFill="1" applyBorder="1" applyAlignment="1">
      <alignment horizontal="left" vertical="top" wrapText="1"/>
    </xf>
    <xf numFmtId="49" fontId="7" fillId="10" borderId="33" xfId="0" applyNumberFormat="1" applyFont="1" applyFill="1" applyBorder="1" applyAlignment="1">
      <alignment horizontal="left" vertical="top" wrapText="1"/>
    </xf>
    <xf numFmtId="0" fontId="7" fillId="10" borderId="22" xfId="0" applyFont="1" applyFill="1" applyBorder="1" applyAlignment="1">
      <alignment horizontal="left" vertical="top" wrapText="1"/>
    </xf>
    <xf numFmtId="0" fontId="45" fillId="30" borderId="13" xfId="0" applyFont="1" applyFill="1" applyBorder="1" applyAlignment="1">
      <alignment horizontal="left" vertical="top" wrapText="1"/>
    </xf>
    <xf numFmtId="0" fontId="45" fillId="30" borderId="33" xfId="0" applyFont="1" applyFill="1" applyBorder="1" applyAlignment="1">
      <alignment horizontal="left" vertical="top" wrapText="1"/>
    </xf>
    <xf numFmtId="0" fontId="45" fillId="30" borderId="22" xfId="0" applyFont="1" applyFill="1" applyBorder="1" applyAlignment="1">
      <alignment horizontal="left" vertical="top" wrapText="1"/>
    </xf>
    <xf numFmtId="0" fontId="45" fillId="30" borderId="60" xfId="0" applyFont="1" applyFill="1" applyBorder="1" applyAlignment="1">
      <alignment horizontal="left" vertical="top" wrapText="1"/>
    </xf>
    <xf numFmtId="0" fontId="45" fillId="30" borderId="61" xfId="0" applyFont="1" applyFill="1" applyBorder="1" applyAlignment="1">
      <alignment horizontal="left" vertical="top" wrapText="1"/>
    </xf>
    <xf numFmtId="0" fontId="2" fillId="29" borderId="1" xfId="0" applyFont="1" applyFill="1" applyBorder="1" applyAlignment="1">
      <alignment horizontal="center" vertical="center" textRotation="90" wrapText="1"/>
    </xf>
    <xf numFmtId="0" fontId="3" fillId="3" borderId="13" xfId="0" applyFont="1" applyFill="1" applyBorder="1" applyAlignment="1">
      <alignment horizontal="left" vertical="top" wrapText="1"/>
    </xf>
    <xf numFmtId="0" fontId="3" fillId="3" borderId="33" xfId="0" applyFont="1" applyFill="1" applyBorder="1" applyAlignment="1">
      <alignment horizontal="left" vertical="top" wrapText="1"/>
    </xf>
    <xf numFmtId="0" fontId="3" fillId="3" borderId="22" xfId="0" applyFont="1" applyFill="1" applyBorder="1" applyAlignment="1">
      <alignment horizontal="left" vertical="top" wrapText="1"/>
    </xf>
    <xf numFmtId="0" fontId="2" fillId="29" borderId="13" xfId="0" applyFont="1" applyFill="1" applyBorder="1" applyAlignment="1">
      <alignment horizontal="center" vertical="center" textRotation="90" wrapText="1"/>
    </xf>
    <xf numFmtId="0" fontId="2" fillId="29" borderId="22" xfId="0" applyFont="1" applyFill="1" applyBorder="1" applyAlignment="1">
      <alignment horizontal="center" vertical="center" textRotation="90" wrapText="1"/>
    </xf>
    <xf numFmtId="0" fontId="7" fillId="10" borderId="12" xfId="0" applyFont="1" applyFill="1" applyBorder="1" applyAlignment="1">
      <alignment horizontal="left" vertical="top" wrapText="1"/>
    </xf>
    <xf numFmtId="0" fontId="2" fillId="10" borderId="39" xfId="0" applyFont="1" applyFill="1" applyBorder="1" applyAlignment="1">
      <alignment horizontal="left" vertical="top" wrapText="1"/>
    </xf>
    <xf numFmtId="0" fontId="2" fillId="10" borderId="21" xfId="0" applyFont="1" applyFill="1" applyBorder="1" applyAlignment="1">
      <alignment horizontal="left" vertical="top" wrapText="1"/>
    </xf>
    <xf numFmtId="0" fontId="2" fillId="25" borderId="12" xfId="0" applyFont="1" applyFill="1" applyBorder="1" applyAlignment="1">
      <alignment horizontal="left" vertical="top" wrapText="1"/>
    </xf>
    <xf numFmtId="0" fontId="7" fillId="25" borderId="33" xfId="0" applyFont="1" applyFill="1" applyBorder="1" applyAlignment="1">
      <alignment horizontal="left" vertical="top" wrapText="1"/>
    </xf>
    <xf numFmtId="0" fontId="7" fillId="25" borderId="22" xfId="0" applyFont="1" applyFill="1" applyBorder="1" applyAlignment="1">
      <alignment horizontal="left" vertical="top" wrapText="1"/>
    </xf>
    <xf numFmtId="0" fontId="2" fillId="25" borderId="13" xfId="0" applyFont="1" applyFill="1" applyBorder="1" applyAlignment="1">
      <alignment horizontal="left" vertical="top" wrapText="1"/>
    </xf>
    <xf numFmtId="49" fontId="2" fillId="25" borderId="33" xfId="0" applyNumberFormat="1" applyFont="1" applyFill="1" applyBorder="1" applyAlignment="1">
      <alignment horizontal="left" vertical="top" wrapText="1"/>
    </xf>
    <xf numFmtId="0" fontId="2" fillId="25" borderId="22" xfId="0" applyFont="1" applyFill="1" applyBorder="1" applyAlignment="1">
      <alignment horizontal="left" vertical="top" wrapText="1"/>
    </xf>
    <xf numFmtId="0" fontId="2" fillId="10" borderId="1" xfId="0" applyFont="1" applyFill="1" applyBorder="1" applyAlignment="1">
      <alignment horizontal="left" vertical="top" wrapText="1"/>
    </xf>
    <xf numFmtId="0" fontId="45" fillId="30" borderId="34" xfId="0" applyFont="1" applyFill="1" applyBorder="1" applyAlignment="1">
      <alignment horizontal="left" vertical="top" wrapText="1"/>
    </xf>
    <xf numFmtId="0" fontId="2" fillId="10" borderId="60" xfId="0" applyFont="1" applyFill="1" applyBorder="1" applyAlignment="1">
      <alignment horizontal="left" vertical="top" wrapText="1"/>
    </xf>
    <xf numFmtId="0" fontId="2" fillId="10" borderId="33" xfId="0" applyFont="1" applyFill="1" applyBorder="1" applyAlignment="1">
      <alignment horizontal="left" vertical="top" wrapText="1"/>
    </xf>
    <xf numFmtId="0" fontId="2" fillId="10" borderId="4" xfId="0" applyFont="1" applyFill="1" applyBorder="1" applyAlignment="1">
      <alignment horizontal="left" vertical="top" wrapText="1"/>
    </xf>
    <xf numFmtId="49" fontId="7" fillId="10" borderId="1" xfId="0" applyNumberFormat="1" applyFont="1" applyFill="1" applyBorder="1" applyAlignment="1">
      <alignment horizontal="left" vertical="top" wrapText="1"/>
    </xf>
    <xf numFmtId="0" fontId="7" fillId="10" borderId="1" xfId="0" applyFont="1" applyFill="1" applyBorder="1" applyAlignment="1">
      <alignment horizontal="left" vertical="top" wrapText="1"/>
    </xf>
    <xf numFmtId="49" fontId="0" fillId="0" borderId="33" xfId="0" applyNumberFormat="1" applyBorder="1" applyAlignment="1">
      <alignment horizontal="left" vertical="top" wrapText="1"/>
    </xf>
    <xf numFmtId="0" fontId="0" fillId="0" borderId="33" xfId="0" applyBorder="1" applyAlignment="1">
      <alignment horizontal="left" vertical="top" wrapText="1"/>
    </xf>
    <xf numFmtId="0" fontId="7" fillId="10" borderId="21" xfId="0" applyFont="1" applyFill="1" applyBorder="1" applyAlignment="1">
      <alignment horizontal="left" vertical="top" wrapText="1"/>
    </xf>
    <xf numFmtId="49" fontId="2" fillId="10" borderId="1" xfId="0" applyNumberFormat="1" applyFont="1" applyFill="1" applyBorder="1" applyAlignment="1">
      <alignment horizontal="left" vertical="top" wrapText="1"/>
    </xf>
    <xf numFmtId="0" fontId="2" fillId="10" borderId="59" xfId="0" applyFont="1" applyFill="1" applyBorder="1" applyAlignment="1">
      <alignment horizontal="left" vertical="top" wrapText="1"/>
    </xf>
    <xf numFmtId="0" fontId="45" fillId="30" borderId="43" xfId="0" applyFont="1" applyFill="1" applyBorder="1" applyAlignment="1">
      <alignment horizontal="left" vertical="top" wrapText="1"/>
    </xf>
    <xf numFmtId="0" fontId="45" fillId="30" borderId="28" xfId="0" applyFont="1" applyFill="1" applyBorder="1" applyAlignment="1">
      <alignment horizontal="left" vertical="top" wrapText="1"/>
    </xf>
    <xf numFmtId="0" fontId="45" fillId="30" borderId="23" xfId="0" applyFont="1" applyFill="1" applyBorder="1" applyAlignment="1">
      <alignment horizontal="left" vertical="top" wrapText="1"/>
    </xf>
    <xf numFmtId="0" fontId="67" fillId="10" borderId="59" xfId="0" applyFont="1" applyFill="1" applyBorder="1" applyAlignment="1">
      <alignment horizontal="left" vertical="top" wrapText="1"/>
    </xf>
    <xf numFmtId="49" fontId="67" fillId="10" borderId="59" xfId="0" applyNumberFormat="1" applyFont="1" applyFill="1" applyBorder="1" applyAlignment="1">
      <alignment horizontal="left" vertical="top" wrapText="1"/>
    </xf>
    <xf numFmtId="0" fontId="45" fillId="30" borderId="60" xfId="0" applyFont="1" applyFill="1" applyBorder="1" applyAlignment="1">
      <alignment horizontal="left" vertical="top"/>
    </xf>
    <xf numFmtId="0" fontId="45" fillId="30" borderId="61" xfId="0" applyFont="1" applyFill="1" applyBorder="1" applyAlignment="1">
      <alignment horizontal="left" vertical="top"/>
    </xf>
    <xf numFmtId="0" fontId="53" fillId="25" borderId="43" xfId="0" applyFont="1" applyFill="1" applyBorder="1" applyAlignment="1">
      <alignment horizontal="center" vertical="center" wrapText="1"/>
    </xf>
    <xf numFmtId="0" fontId="53" fillId="25" borderId="23" xfId="0" applyFont="1" applyFill="1" applyBorder="1" applyAlignment="1">
      <alignment horizontal="center" vertical="center" wrapText="1"/>
    </xf>
    <xf numFmtId="0" fontId="12" fillId="33" borderId="60" xfId="0" applyFont="1" applyFill="1" applyBorder="1" applyAlignment="1">
      <alignment horizontal="center"/>
    </xf>
    <xf numFmtId="0" fontId="12" fillId="33" borderId="61" xfId="0" applyFont="1" applyFill="1" applyBorder="1" applyAlignment="1">
      <alignment horizontal="center"/>
    </xf>
    <xf numFmtId="0" fontId="8" fillId="3" borderId="60" xfId="0" applyFont="1" applyFill="1" applyBorder="1" applyAlignment="1">
      <alignment horizontal="center"/>
    </xf>
    <xf numFmtId="0" fontId="8" fillId="3" borderId="33" xfId="0" applyFont="1" applyFill="1" applyBorder="1" applyAlignment="1">
      <alignment horizontal="center"/>
    </xf>
    <xf numFmtId="0" fontId="8" fillId="3" borderId="61" xfId="0" applyFont="1" applyFill="1" applyBorder="1" applyAlignment="1">
      <alignment horizontal="center"/>
    </xf>
    <xf numFmtId="0" fontId="37" fillId="27" borderId="43" xfId="0" applyFont="1" applyFill="1" applyBorder="1" applyAlignment="1" applyProtection="1">
      <alignment horizontal="center" vertical="center" wrapText="1"/>
    </xf>
    <xf numFmtId="0" fontId="37" fillId="27" borderId="50" xfId="0" applyFont="1" applyFill="1" applyBorder="1" applyAlignment="1" applyProtection="1">
      <alignment horizontal="center" vertical="center" wrapText="1"/>
    </xf>
    <xf numFmtId="0" fontId="53" fillId="27" borderId="19" xfId="0" applyFont="1" applyFill="1" applyBorder="1" applyAlignment="1">
      <alignment horizontal="center" vertical="center"/>
    </xf>
    <xf numFmtId="0" fontId="52" fillId="27" borderId="6" xfId="0" applyFont="1" applyFill="1" applyBorder="1" applyAlignment="1">
      <alignment horizontal="center" vertical="center"/>
    </xf>
    <xf numFmtId="0" fontId="8" fillId="3" borderId="16" xfId="0" applyFont="1" applyFill="1" applyBorder="1" applyAlignment="1" applyProtection="1">
      <alignment horizontal="center" vertical="center"/>
    </xf>
    <xf numFmtId="0" fontId="8" fillId="3" borderId="17" xfId="0" applyFont="1" applyFill="1" applyBorder="1" applyAlignment="1" applyProtection="1">
      <alignment horizontal="center" vertical="center"/>
    </xf>
    <xf numFmtId="0" fontId="8" fillId="3" borderId="48" xfId="0" applyFont="1" applyFill="1" applyBorder="1" applyAlignment="1" applyProtection="1">
      <alignment horizontal="center" vertical="center"/>
    </xf>
    <xf numFmtId="0" fontId="37" fillId="27" borderId="49" xfId="0" applyFont="1" applyFill="1" applyBorder="1" applyAlignment="1" applyProtection="1">
      <alignment horizontal="center" vertical="center" wrapText="1"/>
    </xf>
    <xf numFmtId="0" fontId="37" fillId="27" borderId="8" xfId="0" applyFont="1" applyFill="1" applyBorder="1" applyAlignment="1" applyProtection="1">
      <alignment horizontal="center" vertical="center" wrapText="1"/>
    </xf>
    <xf numFmtId="0" fontId="53" fillId="14" borderId="47" xfId="0" applyFont="1" applyFill="1" applyBorder="1" applyAlignment="1">
      <alignment horizontal="center" vertical="center" wrapText="1"/>
    </xf>
    <xf numFmtId="0" fontId="53" fillId="14" borderId="6" xfId="0" applyFont="1" applyFill="1" applyBorder="1" applyAlignment="1">
      <alignment horizontal="center" vertical="center" wrapText="1"/>
    </xf>
    <xf numFmtId="0" fontId="53" fillId="14" borderId="35" xfId="0" applyFont="1" applyFill="1" applyBorder="1" applyAlignment="1">
      <alignment horizontal="center" vertical="center"/>
    </xf>
    <xf numFmtId="0" fontId="53" fillId="14" borderId="43" xfId="0" applyFont="1" applyFill="1" applyBorder="1" applyAlignment="1">
      <alignment horizontal="center" vertical="center"/>
    </xf>
    <xf numFmtId="0" fontId="43" fillId="31" borderId="0" xfId="0" applyFont="1" applyFill="1" applyAlignment="1">
      <alignment horizontal="center"/>
    </xf>
    <xf numFmtId="0" fontId="3" fillId="3" borderId="0" xfId="0" applyFont="1" applyFill="1" applyAlignment="1">
      <alignment horizontal="center" vertical="center"/>
    </xf>
    <xf numFmtId="0" fontId="5" fillId="0" borderId="0" xfId="0" applyFont="1" applyFill="1" applyBorder="1" applyAlignment="1">
      <alignment vertical="center"/>
    </xf>
    <xf numFmtId="0" fontId="3" fillId="3" borderId="61" xfId="0" applyFont="1" applyFill="1" applyBorder="1" applyAlignment="1">
      <alignment horizontal="left" vertical="center"/>
    </xf>
    <xf numFmtId="0" fontId="3" fillId="3" borderId="13" xfId="0" applyFont="1" applyFill="1" applyBorder="1" applyAlignment="1">
      <alignment horizontal="left" vertical="center" wrapText="1"/>
    </xf>
    <xf numFmtId="0" fontId="3" fillId="3" borderId="33" xfId="0" applyFont="1" applyFill="1" applyBorder="1" applyAlignment="1">
      <alignment horizontal="left" vertical="center" wrapText="1"/>
    </xf>
    <xf numFmtId="0" fontId="3" fillId="3" borderId="22" xfId="0" applyFont="1" applyFill="1" applyBorder="1" applyAlignment="1">
      <alignment horizontal="left" vertical="center" wrapText="1"/>
    </xf>
    <xf numFmtId="0" fontId="2" fillId="10" borderId="39" xfId="0" applyFont="1" applyFill="1" applyBorder="1" applyAlignment="1">
      <alignment horizontal="left" vertical="center" wrapText="1"/>
    </xf>
    <xf numFmtId="0" fontId="2" fillId="10" borderId="21" xfId="0" applyFont="1" applyFill="1" applyBorder="1" applyAlignment="1">
      <alignment horizontal="left" vertical="center" wrapText="1"/>
    </xf>
    <xf numFmtId="49" fontId="40" fillId="11" borderId="37" xfId="1" applyNumberFormat="1" applyFont="1" applyBorder="1" applyAlignment="1" applyProtection="1">
      <alignment horizontal="left" vertical="center" wrapText="1"/>
      <protection locked="0"/>
    </xf>
    <xf numFmtId="0" fontId="26" fillId="13" borderId="19" xfId="0" applyFont="1" applyFill="1" applyBorder="1" applyAlignment="1" applyProtection="1">
      <alignment vertical="center" wrapText="1"/>
    </xf>
    <xf numFmtId="0" fontId="0" fillId="0" borderId="0" xfId="0" applyAlignment="1" applyProtection="1">
      <alignment horizontal="left" vertical="center" wrapText="1"/>
      <protection locked="0"/>
    </xf>
    <xf numFmtId="0" fontId="0" fillId="0" borderId="20" xfId="0" applyBorder="1" applyAlignment="1" applyProtection="1">
      <alignment vertical="center"/>
      <protection locked="0"/>
    </xf>
    <xf numFmtId="0" fontId="4" fillId="4" borderId="2" xfId="0" applyFont="1" applyFill="1" applyBorder="1" applyAlignment="1">
      <alignment vertical="center"/>
    </xf>
    <xf numFmtId="0" fontId="4" fillId="4" borderId="3" xfId="0" applyFont="1" applyFill="1" applyBorder="1" applyAlignment="1">
      <alignment vertical="center" wrapText="1"/>
    </xf>
    <xf numFmtId="0" fontId="4" fillId="5" borderId="14" xfId="0" applyFont="1" applyFill="1" applyBorder="1" applyAlignment="1" applyProtection="1">
      <alignment horizontal="left" vertical="center" wrapText="1"/>
    </xf>
    <xf numFmtId="0" fontId="45" fillId="30" borderId="4" xfId="0" applyFont="1" applyFill="1" applyBorder="1" applyAlignment="1">
      <alignment vertical="center" wrapText="1"/>
    </xf>
    <xf numFmtId="49" fontId="45" fillId="30" borderId="1" xfId="0" applyNumberFormat="1" applyFont="1" applyFill="1" applyBorder="1" applyAlignment="1">
      <alignment horizontal="left" vertical="center" wrapText="1"/>
    </xf>
    <xf numFmtId="0" fontId="45" fillId="30" borderId="13" xfId="0" applyFont="1" applyFill="1" applyBorder="1" applyAlignment="1">
      <alignment horizontal="left" vertical="center" wrapText="1"/>
    </xf>
    <xf numFmtId="0" fontId="45" fillId="30" borderId="33" xfId="0" applyFont="1" applyFill="1" applyBorder="1" applyAlignment="1">
      <alignment horizontal="left" vertical="center" wrapText="1"/>
    </xf>
    <xf numFmtId="0" fontId="45" fillId="30" borderId="22" xfId="0" applyFont="1" applyFill="1" applyBorder="1" applyAlignment="1">
      <alignment horizontal="left" vertical="center" wrapText="1"/>
    </xf>
    <xf numFmtId="0" fontId="2" fillId="10" borderId="12" xfId="0" applyFont="1" applyFill="1" applyBorder="1" applyAlignment="1">
      <alignment horizontal="left" vertical="center" wrapText="1"/>
    </xf>
    <xf numFmtId="49" fontId="2" fillId="10" borderId="33" xfId="0" applyNumberFormat="1" applyFont="1" applyFill="1" applyBorder="1" applyAlignment="1">
      <alignment horizontal="left" vertical="center" wrapText="1"/>
    </xf>
    <xf numFmtId="0" fontId="2" fillId="10" borderId="61" xfId="0" applyFont="1" applyFill="1" applyBorder="1" applyAlignment="1">
      <alignment horizontal="left" vertical="center" wrapText="1"/>
    </xf>
    <xf numFmtId="49" fontId="12" fillId="8" borderId="13" xfId="0" applyNumberFormat="1" applyFont="1" applyFill="1" applyBorder="1" applyAlignment="1" applyProtection="1">
      <alignment horizontal="left" vertical="center" wrapText="1"/>
      <protection locked="0"/>
    </xf>
    <xf numFmtId="0" fontId="12" fillId="2" borderId="1" xfId="0" applyFont="1" applyFill="1" applyBorder="1" applyAlignment="1" applyProtection="1">
      <alignment vertical="center" wrapText="1"/>
      <protection locked="0"/>
    </xf>
    <xf numFmtId="0" fontId="11" fillId="2" borderId="4" xfId="0" applyFont="1" applyFill="1" applyBorder="1" applyAlignment="1">
      <alignment horizontal="center" vertical="center" wrapText="1"/>
    </xf>
    <xf numFmtId="0" fontId="5" fillId="0" borderId="59" xfId="0" applyFont="1" applyBorder="1" applyAlignment="1">
      <alignment vertical="center" wrapText="1"/>
    </xf>
    <xf numFmtId="49" fontId="12" fillId="26" borderId="13" xfId="0" applyNumberFormat="1" applyFont="1" applyFill="1" applyBorder="1" applyAlignment="1" applyProtection="1">
      <alignment horizontal="left" vertical="center" wrapText="1"/>
      <protection locked="0"/>
    </xf>
    <xf numFmtId="0" fontId="0" fillId="13" borderId="1" xfId="0" applyFill="1" applyBorder="1" applyAlignment="1" applyProtection="1">
      <alignment vertical="center"/>
      <protection locked="0"/>
    </xf>
    <xf numFmtId="0" fontId="43" fillId="30" borderId="4" xfId="0" applyFont="1" applyFill="1" applyBorder="1" applyAlignment="1">
      <alignment vertical="center" wrapText="1"/>
    </xf>
    <xf numFmtId="49" fontId="45" fillId="30" borderId="1" xfId="0" applyNumberFormat="1" applyFont="1" applyFill="1" applyBorder="1" applyAlignment="1">
      <alignment horizontal="left" vertical="center"/>
    </xf>
    <xf numFmtId="0" fontId="45" fillId="30" borderId="13" xfId="0" applyFont="1" applyFill="1" applyBorder="1" applyAlignment="1">
      <alignment horizontal="left" vertical="center"/>
    </xf>
    <xf numFmtId="0" fontId="45" fillId="30" borderId="33" xfId="0" applyFont="1" applyFill="1" applyBorder="1" applyAlignment="1">
      <alignment horizontal="left" vertical="center"/>
    </xf>
    <xf numFmtId="0" fontId="45" fillId="30" borderId="22" xfId="0" applyFont="1" applyFill="1" applyBorder="1" applyAlignment="1">
      <alignment horizontal="left" vertical="center"/>
    </xf>
    <xf numFmtId="0" fontId="5" fillId="2" borderId="4" xfId="0" applyFont="1" applyFill="1" applyBorder="1" applyAlignment="1">
      <alignment horizontal="center" vertical="center" wrapText="1"/>
    </xf>
    <xf numFmtId="0" fontId="0" fillId="13" borderId="1" xfId="0" applyFill="1" applyBorder="1" applyAlignment="1" applyProtection="1">
      <alignment vertical="center" wrapText="1"/>
      <protection locked="0"/>
    </xf>
    <xf numFmtId="0" fontId="43" fillId="30" borderId="4" xfId="0" applyFont="1" applyFill="1" applyBorder="1" applyAlignment="1">
      <alignment horizontal="center" vertical="center" wrapText="1"/>
    </xf>
    <xf numFmtId="0" fontId="2" fillId="25" borderId="60" xfId="0" applyFont="1" applyFill="1" applyBorder="1" applyAlignment="1">
      <alignment vertical="center" wrapText="1"/>
    </xf>
    <xf numFmtId="49" fontId="2" fillId="25" borderId="33" xfId="0" applyNumberFormat="1" applyFont="1" applyFill="1" applyBorder="1" applyAlignment="1">
      <alignment vertical="center" wrapText="1"/>
    </xf>
    <xf numFmtId="0" fontId="2" fillId="25" borderId="61" xfId="0" applyFont="1" applyFill="1" applyBorder="1" applyAlignment="1">
      <alignment vertical="center" wrapText="1"/>
    </xf>
    <xf numFmtId="0" fontId="5" fillId="0" borderId="59" xfId="0" applyFont="1" applyBorder="1" applyAlignment="1">
      <alignment horizontal="left" vertical="center" wrapText="1"/>
    </xf>
    <xf numFmtId="49" fontId="12" fillId="26" borderId="1" xfId="0" applyNumberFormat="1" applyFont="1" applyFill="1" applyBorder="1" applyAlignment="1" applyProtection="1">
      <alignment horizontal="left" vertical="center" wrapText="1"/>
      <protection locked="0"/>
    </xf>
    <xf numFmtId="0" fontId="0" fillId="13" borderId="22" xfId="0" applyFill="1" applyBorder="1" applyAlignment="1" applyProtection="1">
      <alignment vertical="center"/>
      <protection locked="0"/>
    </xf>
  </cellXfs>
  <cellStyles count="4">
    <cellStyle name="Good" xfId="1" builtinId="26"/>
    <cellStyle name="Hyperlink" xfId="2" builtinId="8"/>
    <cellStyle name="Normal" xfId="0" builtinId="0"/>
    <cellStyle name="Normal 2" xfId="3"/>
  </cellStyles>
  <dxfs count="456">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ont>
        <b val="0"/>
        <i val="0"/>
        <color theme="1"/>
      </font>
      <fill>
        <patternFill>
          <bgColor theme="5" tint="0.59996337778862885"/>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ont>
        <b val="0"/>
        <i val="0"/>
        <color theme="1"/>
      </font>
      <fill>
        <patternFill>
          <bgColor theme="5" tint="0.59996337778862885"/>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ont>
        <b val="0"/>
        <i val="0"/>
        <color theme="1"/>
      </font>
      <fill>
        <patternFill>
          <bgColor theme="5" tint="0.59996337778862885"/>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ont>
        <b val="0"/>
        <i val="0"/>
        <color theme="1"/>
      </font>
      <fill>
        <patternFill>
          <bgColor theme="5" tint="0.59996337778862885"/>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ont>
        <b val="0"/>
        <i val="0"/>
        <color theme="1"/>
      </font>
      <fill>
        <patternFill>
          <bgColor theme="5" tint="0.59996337778862885"/>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0"/>
      </font>
      <fill>
        <patternFill>
          <bgColor rgb="FFFF0000"/>
        </patternFill>
      </fill>
    </dxf>
    <dxf>
      <fill>
        <patternFill>
          <bgColor rgb="FFFFFF00"/>
        </patternFill>
      </fill>
    </dxf>
    <dxf>
      <fill>
        <patternFill>
          <bgColor rgb="FFFFFFCC"/>
        </patternFill>
      </fill>
    </dxf>
    <dxf>
      <fill>
        <patternFill>
          <bgColor rgb="FFD8EBF4"/>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ill>
        <patternFill>
          <bgColor theme="0" tint="-4.9989318521683403E-2"/>
        </patternFill>
      </fill>
    </dxf>
    <dxf>
      <fill>
        <patternFill>
          <bgColor theme="7" tint="0.79998168889431442"/>
        </patternFill>
      </fill>
    </dxf>
    <dxf>
      <fill>
        <patternFill>
          <bgColor theme="7" tint="0.59996337778862885"/>
        </patternFill>
      </fill>
    </dxf>
    <dxf>
      <fill>
        <patternFill>
          <fgColor theme="0"/>
          <bgColor theme="7" tint="0.39994506668294322"/>
        </patternFill>
      </fill>
    </dxf>
    <dxf>
      <font>
        <color theme="1"/>
      </font>
      <fill>
        <patternFill>
          <bgColor rgb="FFFFC000"/>
        </patternFill>
      </fill>
    </dxf>
    <dxf>
      <font>
        <color theme="1"/>
      </font>
      <fill>
        <patternFill>
          <bgColor theme="0" tint="-0.14996795556505021"/>
        </patternFill>
      </fill>
    </dxf>
    <dxf>
      <font>
        <color theme="1"/>
      </font>
      <fill>
        <patternFill>
          <bgColor rgb="FFFF0000"/>
        </patternFill>
      </fill>
    </dxf>
    <dxf>
      <font>
        <color theme="1"/>
      </font>
      <fill>
        <patternFill>
          <bgColor rgb="FFFFFF00"/>
        </patternFill>
      </fill>
    </dxf>
    <dxf>
      <font>
        <color theme="1"/>
      </font>
      <fill>
        <patternFill>
          <bgColor rgb="FF00FF00"/>
        </patternFill>
      </fill>
    </dxf>
    <dxf>
      <fill>
        <patternFill>
          <bgColor rgb="FF00FF00"/>
        </patternFill>
      </fill>
    </dxf>
    <dxf>
      <fill>
        <patternFill>
          <bgColor rgb="FFFFFF00"/>
        </patternFill>
      </fill>
    </dxf>
    <dxf>
      <fill>
        <patternFill>
          <bgColor rgb="FFFF0000"/>
        </patternFill>
      </fill>
    </dxf>
    <dxf>
      <font>
        <color theme="1"/>
        <name val="Cambria"/>
        <scheme val="none"/>
      </font>
      <fill>
        <patternFill>
          <bgColor rgb="FFFFFF00"/>
        </patternFill>
      </fill>
    </dxf>
    <dxf>
      <font>
        <color theme="1"/>
      </font>
      <fill>
        <patternFill>
          <bgColor rgb="FF00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FFC000"/>
        </patternFill>
      </fill>
    </dxf>
    <dxf>
      <font>
        <color theme="1"/>
      </font>
      <fill>
        <patternFill>
          <bgColor theme="0" tint="-0.14996795556505021"/>
        </patternFill>
      </fill>
    </dxf>
    <dxf>
      <font>
        <color theme="1"/>
      </font>
      <fill>
        <patternFill>
          <bgColor rgb="FFFF0000"/>
        </patternFill>
      </fill>
    </dxf>
    <dxf>
      <font>
        <color theme="1"/>
      </font>
      <fill>
        <patternFill>
          <bgColor rgb="FFFFFF00"/>
        </patternFill>
      </fill>
    </dxf>
    <dxf>
      <font>
        <color theme="1"/>
      </font>
      <fill>
        <patternFill>
          <bgColor rgb="FF00FF00"/>
        </patternFill>
      </fill>
    </dxf>
  </dxfs>
  <tableStyles count="1" defaultTableStyle="TableStyleMedium9" defaultPivotStyle="PivotStyleLight16">
    <tableStyle name="MySqlDefault" pivot="0" table="0" count="0"/>
  </tableStyles>
  <colors>
    <mruColors>
      <color rgb="FFD8EBF4"/>
      <color rgb="FFFFFFCC"/>
      <color rgb="FF99CCFF"/>
      <color rgb="FFCCFFCC"/>
      <color rgb="FF0033CC"/>
      <color rgb="FF000066"/>
      <color rgb="FFF2F2F2"/>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openxmlformats.org/officeDocument/2006/relationships/customXml" Target="../customXml/item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6718300</xdr:colOff>
          <xdr:row>3</xdr:row>
          <xdr:rowOff>0</xdr:rowOff>
        </xdr:from>
        <xdr:to>
          <xdr:col>4</xdr:col>
          <xdr:colOff>0</xdr:colOff>
          <xdr:row>3</xdr:row>
          <xdr:rowOff>793750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Initialize from Previous Scorecard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48</xdr:row>
          <xdr:rowOff>0</xdr:rowOff>
        </xdr:from>
        <xdr:to>
          <xdr:col>3</xdr:col>
          <xdr:colOff>876300</xdr:colOff>
          <xdr:row>49</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Update Scorecard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127000</xdr:colOff>
          <xdr:row>62</xdr:row>
          <xdr:rowOff>127000</xdr:rowOff>
        </xdr:from>
        <xdr:to>
          <xdr:col>3</xdr:col>
          <xdr:colOff>908050</xdr:colOff>
          <xdr:row>64</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6718300</xdr:colOff>
          <xdr:row>3</xdr:row>
          <xdr:rowOff>0</xdr:rowOff>
        </xdr:from>
        <xdr:to>
          <xdr:col>4</xdr:col>
          <xdr:colOff>0</xdr:colOff>
          <xdr:row>3</xdr:row>
          <xdr:rowOff>793750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Initialize from Previous Scorecard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6718300</xdr:colOff>
          <xdr:row>3</xdr:row>
          <xdr:rowOff>0</xdr:rowOff>
        </xdr:from>
        <xdr:to>
          <xdr:col>4</xdr:col>
          <xdr:colOff>0</xdr:colOff>
          <xdr:row>3</xdr:row>
          <xdr:rowOff>793750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Initialize from Previous Scorecard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6</xdr:row>
          <xdr:rowOff>38100</xdr:rowOff>
        </xdr:from>
        <xdr:to>
          <xdr:col>4</xdr:col>
          <xdr:colOff>0</xdr:colOff>
          <xdr:row>8</xdr:row>
          <xdr:rowOff>171450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Initialize from Glitz</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5</xdr:row>
          <xdr:rowOff>12700</xdr:rowOff>
        </xdr:from>
        <xdr:to>
          <xdr:col>4</xdr:col>
          <xdr:colOff>12700</xdr:colOff>
          <xdr:row>6</xdr:row>
          <xdr:rowOff>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D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Add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3" Type="http://schemas.openxmlformats.org/officeDocument/2006/relationships/hyperlink" Target="http://garwiki.regn.net/mediawiki/index.php/How_to_fill_out_a_scorecard" TargetMode="External"/><Relationship Id="rId7" Type="http://schemas.openxmlformats.org/officeDocument/2006/relationships/vmlDrawing" Target="../drawings/vmlDrawing1.vml"/><Relationship Id="rId12" Type="http://schemas.openxmlformats.org/officeDocument/2006/relationships/ctrlProp" Target="../ctrlProps/ctrlProp5.xml"/><Relationship Id="rId2" Type="http://schemas.openxmlformats.org/officeDocument/2006/relationships/hyperlink" Target="http://garwiki.regn.net/mediawiki/index.php/Governance_Levels_for_Systems_Assets" TargetMode="External"/><Relationship Id="rId1" Type="http://schemas.openxmlformats.org/officeDocument/2006/relationships/hyperlink" Target="http://garwiki.regn.net/mediawiki/index.php/System_Asset_Scorecard_Template_(scorecard_template)" TargetMode="Externa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hyperlink" Target="http://garwiki.regn.net/mediawiki/index.php/How_to_fill_out_a_scorecard" TargetMode="Externa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14.bin"/><Relationship Id="rId4" Type="http://schemas.openxmlformats.org/officeDocument/2006/relationships/ctrlProp" Target="../ctrlProps/ctrlProp7.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hyperlink" Target="https://wiki.regn.net/w/index.php?title=Currency_Conversion_(technology_standard)" TargetMode="External"/><Relationship Id="rId13" Type="http://schemas.openxmlformats.org/officeDocument/2006/relationships/hyperlink" Target="https://wiki.regn.net/w/index.php?title=Accessibility_(technology_standard)" TargetMode="External"/><Relationship Id="rId18" Type="http://schemas.openxmlformats.org/officeDocument/2006/relationships/hyperlink" Target="https://reedelsevier.sharepoint.com/sites/LNGTOBusApp/EAGovernanceTools/Lists/Asset%20Interface%20Exposed" TargetMode="External"/><Relationship Id="rId3" Type="http://schemas.openxmlformats.org/officeDocument/2006/relationships/hyperlink" Target="https://wiki.regn.net/wiki/Source_Code_Maintenance_Policy" TargetMode="External"/><Relationship Id="rId21" Type="http://schemas.openxmlformats.org/officeDocument/2006/relationships/printerSettings" Target="../printerSettings/printerSettings17.bin"/><Relationship Id="rId7" Type="http://schemas.openxmlformats.org/officeDocument/2006/relationships/hyperlink" Target="https://wiki.regn.net/w/index.php?title=Representation_of_Currency_(technology_standard)" TargetMode="External"/><Relationship Id="rId12" Type="http://schemas.openxmlformats.org/officeDocument/2006/relationships/hyperlink" Target="https://wiki.regn.net/w/index.php?title=Representation_of_Decimal_Numbers_(technology_standard)" TargetMode="External"/><Relationship Id="rId17" Type="http://schemas.openxmlformats.org/officeDocument/2006/relationships/hyperlink" Target="https://reedelsevier.sharepoint.com/sites/LNGTOBusApp/EAGovernanceTools/Lists/Custom%20HTTP%20Header" TargetMode="External"/><Relationship Id="rId2" Type="http://schemas.openxmlformats.org/officeDocument/2006/relationships/hyperlink" Target="https://wiki.regn.net/wiki/TP377_(technology_problem)" TargetMode="External"/><Relationship Id="rId16" Type="http://schemas.openxmlformats.org/officeDocument/2006/relationships/hyperlink" Target="https://reedelsevier.sharepoint.com/sites/LNGTOBusApp/EAGovernanceTools/Lists/Custom%20Media%20Type" TargetMode="External"/><Relationship Id="rId20" Type="http://schemas.openxmlformats.org/officeDocument/2006/relationships/hyperlink" Target="http://gar.regn.net/sites/docs/ContentLibrary/Enterprise%20Architecture/CISO/Security%20Decision%20Tools/minimumpasswordrules.xlsx" TargetMode="External"/><Relationship Id="rId1" Type="http://schemas.openxmlformats.org/officeDocument/2006/relationships/hyperlink" Target="http://gar.regn.net/sites/docs/ContentLibrary/Forms/AllItems.aspx?RootFolder=%2Fsites%2Fdocs%2FContentLibrary%2FEnterprise%20Architecture%2FStandards%20and%20Patterns%2FLogical%20Architecture%20Diagramming%20using%20UML%202%2E0" TargetMode="External"/><Relationship Id="rId6" Type="http://schemas.openxmlformats.org/officeDocument/2006/relationships/hyperlink" Target="https://wiki.regn.net/w/index.php?title=Representation_of_Locale_(technology_standard)" TargetMode="External"/><Relationship Id="rId11" Type="http://schemas.openxmlformats.org/officeDocument/2006/relationships/hyperlink" Target="https://wiki.regn.net/w/index.php?title=Time_Zone_Values_(technology_standard)" TargetMode="External"/><Relationship Id="rId5" Type="http://schemas.openxmlformats.org/officeDocument/2006/relationships/hyperlink" Target="http://gar.regn.net/sites/docs/ContentLibrary/Enterprise%20Architecture/Governance/Asset%20Analysis%20and%20Test%20Results.xlsx" TargetMode="External"/><Relationship Id="rId15" Type="http://schemas.openxmlformats.org/officeDocument/2006/relationships/hyperlink" Target="https://wiki.regn.net/wiki/Encryption_%28technology_standard%29" TargetMode="External"/><Relationship Id="rId10" Type="http://schemas.openxmlformats.org/officeDocument/2006/relationships/hyperlink" Target="https://wiki.regn.net/wiki/Representation_of_Telephone_Numbers_(technology_standard)" TargetMode="External"/><Relationship Id="rId19" Type="http://schemas.openxmlformats.org/officeDocument/2006/relationships/hyperlink" Target="https://wiki.regn.net/wiki/Web_User_Interface_(technology_standard)" TargetMode="External"/><Relationship Id="rId4" Type="http://schemas.openxmlformats.org/officeDocument/2006/relationships/hyperlink" Target="http://gar.regn.net/sites/docs/ContentLibrary/Enterprise%20Architecture/Governance/Asset%20Single%20Point%20of%20Failure%20Analysis.xlsx" TargetMode="External"/><Relationship Id="rId9" Type="http://schemas.openxmlformats.org/officeDocument/2006/relationships/hyperlink" Target="https://wiki.regn.net/w/index.php?title=Representation_of_Date_and_Time_(technology_standard)" TargetMode="External"/><Relationship Id="rId14" Type="http://schemas.openxmlformats.org/officeDocument/2006/relationships/hyperlink" Target="http://globalpds.lexisnexis.com/" TargetMode="Externa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autoPageBreaks="0" fitToPage="1"/>
  </sheetPr>
  <dimension ref="A1:L108"/>
  <sheetViews>
    <sheetView zoomScaleNormal="100" workbookViewId="0">
      <selection sqref="A1:C1"/>
    </sheetView>
  </sheetViews>
  <sheetFormatPr defaultRowHeight="13" x14ac:dyDescent="0.3"/>
  <cols>
    <col min="1" max="1" width="4.81640625" style="128" customWidth="1"/>
    <col min="2" max="2" width="20.7265625" style="1" customWidth="1"/>
    <col min="3" max="3" width="100.81640625" style="1" customWidth="1"/>
    <col min="4" max="4" width="13.7265625" customWidth="1"/>
  </cols>
  <sheetData>
    <row r="1" spans="1:4" ht="17.5" x14ac:dyDescent="0.35">
      <c r="A1" s="472" t="s">
        <v>1299</v>
      </c>
      <c r="B1" s="473"/>
      <c r="C1" s="474"/>
    </row>
    <row r="2" spans="1:4" s="2" customFormat="1" ht="20.5" thickBot="1" x14ac:dyDescent="0.3">
      <c r="A2" s="475" t="s">
        <v>22</v>
      </c>
      <c r="B2" s="476"/>
      <c r="C2" s="477"/>
    </row>
    <row r="3" spans="1:4" s="4" customFormat="1" ht="12.5" x14ac:dyDescent="0.25">
      <c r="A3" s="484"/>
      <c r="B3" s="484"/>
      <c r="C3" s="484"/>
    </row>
    <row r="4" spans="1:4" s="4" customFormat="1" ht="79.5" customHeight="1" x14ac:dyDescent="0.25">
      <c r="A4" s="324" t="s">
        <v>424</v>
      </c>
      <c r="B4" s="478" t="s">
        <v>840</v>
      </c>
      <c r="C4" s="479"/>
    </row>
    <row r="5" spans="1:4" s="4" customFormat="1" ht="16.5" customHeight="1" x14ac:dyDescent="0.25">
      <c r="A5" s="324"/>
      <c r="B5" s="265"/>
      <c r="C5" s="266"/>
    </row>
    <row r="6" spans="1:4" s="4" customFormat="1" ht="15.75" customHeight="1" x14ac:dyDescent="0.3">
      <c r="A6" s="337">
        <v>1</v>
      </c>
      <c r="B6" s="465" t="s">
        <v>433</v>
      </c>
      <c r="C6" s="465"/>
    </row>
    <row r="7" spans="1:4" s="227" customFormat="1" ht="18.75" customHeight="1" x14ac:dyDescent="0.25">
      <c r="A7" s="338" t="s">
        <v>434</v>
      </c>
      <c r="B7" s="482" t="s">
        <v>839</v>
      </c>
      <c r="C7" s="483"/>
    </row>
    <row r="8" spans="1:4" s="2" customFormat="1" ht="16.5" customHeight="1" x14ac:dyDescent="0.25">
      <c r="A8" s="338"/>
      <c r="B8" s="462" t="s">
        <v>843</v>
      </c>
      <c r="C8" s="462"/>
    </row>
    <row r="9" spans="1:4" s="227" customFormat="1" ht="15" customHeight="1" x14ac:dyDescent="0.25">
      <c r="A9" s="338" t="s">
        <v>435</v>
      </c>
      <c r="B9" s="482" t="s">
        <v>841</v>
      </c>
      <c r="C9" s="482"/>
    </row>
    <row r="10" spans="1:4" s="2" customFormat="1" ht="42" customHeight="1" x14ac:dyDescent="0.25">
      <c r="A10" s="338"/>
      <c r="B10" s="317" t="s">
        <v>424</v>
      </c>
      <c r="C10" s="318" t="s">
        <v>842</v>
      </c>
    </row>
    <row r="11" spans="1:4" s="2" customFormat="1" ht="25.5" customHeight="1" x14ac:dyDescent="0.25">
      <c r="A11" s="338"/>
      <c r="B11" s="319" t="s">
        <v>425</v>
      </c>
      <c r="C11" s="318" t="s">
        <v>700</v>
      </c>
    </row>
    <row r="12" spans="1:4" s="2" customFormat="1" ht="50.5" x14ac:dyDescent="0.3">
      <c r="A12" s="338" t="s">
        <v>436</v>
      </c>
      <c r="B12" s="480" t="s">
        <v>853</v>
      </c>
      <c r="C12" s="481"/>
      <c r="D12" s="321" t="s">
        <v>847</v>
      </c>
    </row>
    <row r="13" spans="1:4" s="2" customFormat="1" ht="14" x14ac:dyDescent="0.25">
      <c r="A13" s="338"/>
      <c r="B13" s="333" t="s">
        <v>877</v>
      </c>
      <c r="C13" s="323" t="s">
        <v>874</v>
      </c>
    </row>
    <row r="14" spans="1:4" s="227" customFormat="1" ht="14" x14ac:dyDescent="0.25">
      <c r="A14" s="338"/>
      <c r="B14" s="334" t="s">
        <v>878</v>
      </c>
      <c r="C14" s="323" t="s">
        <v>1152</v>
      </c>
    </row>
    <row r="15" spans="1:4" s="2" customFormat="1" ht="14" x14ac:dyDescent="0.25">
      <c r="A15" s="338"/>
      <c r="B15" s="335" t="s">
        <v>879</v>
      </c>
      <c r="C15" s="323" t="s">
        <v>1153</v>
      </c>
    </row>
    <row r="16" spans="1:4" s="4" customFormat="1" ht="14" x14ac:dyDescent="0.25">
      <c r="A16" s="338"/>
      <c r="B16" s="336" t="s">
        <v>652</v>
      </c>
      <c r="C16" s="323" t="s">
        <v>1154</v>
      </c>
    </row>
    <row r="17" spans="1:12" s="227" customFormat="1" ht="25.5" x14ac:dyDescent="0.3">
      <c r="A17" s="338" t="s">
        <v>852</v>
      </c>
      <c r="B17" s="480" t="s">
        <v>846</v>
      </c>
      <c r="C17" s="481"/>
      <c r="D17" s="321" t="s">
        <v>844</v>
      </c>
    </row>
    <row r="18" spans="1:12" s="2" customFormat="1" x14ac:dyDescent="0.25">
      <c r="A18" s="338"/>
      <c r="B18" s="120"/>
      <c r="C18" s="109"/>
    </row>
    <row r="19" spans="1:12" s="4" customFormat="1" ht="15.75" customHeight="1" x14ac:dyDescent="0.3">
      <c r="A19" s="338">
        <v>2</v>
      </c>
      <c r="B19" s="465" t="s">
        <v>662</v>
      </c>
      <c r="C19" s="465"/>
    </row>
    <row r="20" spans="1:12" s="2" customFormat="1" x14ac:dyDescent="0.25">
      <c r="A20" s="338"/>
      <c r="B20" s="461" t="s">
        <v>673</v>
      </c>
      <c r="C20" s="468"/>
    </row>
    <row r="21" spans="1:12" s="2" customFormat="1" x14ac:dyDescent="0.25">
      <c r="A21" s="338"/>
      <c r="B21" s="108"/>
      <c r="C21" s="107"/>
    </row>
    <row r="22" spans="1:12" s="4" customFormat="1" ht="15.75" customHeight="1" x14ac:dyDescent="0.3">
      <c r="A22" s="338">
        <v>3</v>
      </c>
      <c r="B22" s="465" t="s">
        <v>1084</v>
      </c>
      <c r="C22" s="465"/>
    </row>
    <row r="23" spans="1:12" s="2" customFormat="1" x14ac:dyDescent="0.25">
      <c r="A23" s="338" t="s">
        <v>437</v>
      </c>
      <c r="B23" s="461" t="s">
        <v>646</v>
      </c>
      <c r="C23" s="468"/>
    </row>
    <row r="24" spans="1:12" s="2" customFormat="1" x14ac:dyDescent="0.25">
      <c r="A24" s="338"/>
      <c r="B24" s="18" t="s">
        <v>63</v>
      </c>
      <c r="C24" s="18" t="s">
        <v>64</v>
      </c>
    </row>
    <row r="25" spans="1:12" s="2" customFormat="1" ht="13.15" customHeight="1" x14ac:dyDescent="0.25">
      <c r="A25" s="127"/>
      <c r="B25" s="18" t="s">
        <v>65</v>
      </c>
      <c r="C25" s="13" t="s">
        <v>29</v>
      </c>
    </row>
    <row r="26" spans="1:12" s="2" customFormat="1" x14ac:dyDescent="0.25">
      <c r="A26" s="227"/>
      <c r="B26" s="18" t="s">
        <v>35</v>
      </c>
      <c r="C26" s="13" t="s">
        <v>66</v>
      </c>
    </row>
    <row r="27" spans="1:12" s="2" customFormat="1" x14ac:dyDescent="0.25">
      <c r="A27" s="227"/>
      <c r="B27" s="18" t="s">
        <v>37</v>
      </c>
      <c r="C27" s="13" t="s">
        <v>67</v>
      </c>
    </row>
    <row r="28" spans="1:12" s="2" customFormat="1" ht="25" x14ac:dyDescent="0.25">
      <c r="A28" s="227" t="s">
        <v>438</v>
      </c>
      <c r="B28" s="485" t="s">
        <v>850</v>
      </c>
      <c r="C28" s="486"/>
      <c r="D28" s="320" t="s">
        <v>845</v>
      </c>
    </row>
    <row r="29" spans="1:12" s="2" customFormat="1" ht="52.5" customHeight="1" x14ac:dyDescent="0.25">
      <c r="A29" s="338" t="s">
        <v>439</v>
      </c>
      <c r="B29" s="461" t="s">
        <v>848</v>
      </c>
      <c r="C29" s="468"/>
    </row>
    <row r="30" spans="1:12" s="2" customFormat="1" ht="49.5" customHeight="1" x14ac:dyDescent="0.25">
      <c r="A30" s="338" t="s">
        <v>446</v>
      </c>
      <c r="B30" s="466" t="s">
        <v>849</v>
      </c>
      <c r="C30" s="467"/>
      <c r="L30" s="34"/>
    </row>
    <row r="31" spans="1:12" s="2" customFormat="1" x14ac:dyDescent="0.3">
      <c r="A31" s="337"/>
      <c r="B31" s="13"/>
      <c r="C31" s="13"/>
    </row>
    <row r="32" spans="1:12" s="4" customFormat="1" ht="15.75" customHeight="1" x14ac:dyDescent="0.3">
      <c r="A32" s="338">
        <v>4</v>
      </c>
      <c r="B32" s="465" t="s">
        <v>440</v>
      </c>
      <c r="C32" s="465"/>
    </row>
    <row r="33" spans="1:4" s="2" customFormat="1" ht="90.75" customHeight="1" x14ac:dyDescent="0.25">
      <c r="A33" s="338" t="s">
        <v>441</v>
      </c>
      <c r="B33" s="461" t="s">
        <v>786</v>
      </c>
      <c r="C33" s="468"/>
    </row>
    <row r="34" spans="1:4" s="2" customFormat="1" ht="25.5" customHeight="1" x14ac:dyDescent="0.3">
      <c r="A34" s="337" t="s">
        <v>442</v>
      </c>
      <c r="B34" s="461" t="s">
        <v>787</v>
      </c>
      <c r="C34" s="468"/>
    </row>
    <row r="35" spans="1:4" s="2" customFormat="1" ht="25.5" customHeight="1" x14ac:dyDescent="0.25">
      <c r="A35" s="338" t="s">
        <v>443</v>
      </c>
      <c r="B35" s="461" t="s">
        <v>784</v>
      </c>
      <c r="C35" s="461"/>
    </row>
    <row r="36" spans="1:4" s="2" customFormat="1" x14ac:dyDescent="0.25">
      <c r="A36" s="338" t="s">
        <v>444</v>
      </c>
      <c r="B36" s="461" t="s">
        <v>449</v>
      </c>
      <c r="C36" s="461"/>
    </row>
    <row r="37" spans="1:4" s="2" customFormat="1" x14ac:dyDescent="0.25">
      <c r="A37" s="338"/>
      <c r="B37" s="176" t="s">
        <v>450</v>
      </c>
      <c r="C37" s="5" t="s">
        <v>782</v>
      </c>
    </row>
    <row r="38" spans="1:4" s="2" customFormat="1" ht="25" x14ac:dyDescent="0.25">
      <c r="A38" s="338"/>
      <c r="B38" s="176" t="s">
        <v>429</v>
      </c>
      <c r="C38" s="5" t="s">
        <v>452</v>
      </c>
    </row>
    <row r="39" spans="1:4" s="2" customFormat="1" ht="25" x14ac:dyDescent="0.25">
      <c r="A39" s="338"/>
      <c r="B39" s="176" t="s">
        <v>451</v>
      </c>
      <c r="C39" s="5" t="s">
        <v>453</v>
      </c>
    </row>
    <row r="40" spans="1:4" s="2" customFormat="1" ht="25" x14ac:dyDescent="0.25">
      <c r="A40" s="338"/>
      <c r="B40" s="176" t="s">
        <v>432</v>
      </c>
      <c r="C40" s="5" t="s">
        <v>665</v>
      </c>
    </row>
    <row r="41" spans="1:4" s="2" customFormat="1" x14ac:dyDescent="0.25">
      <c r="A41" s="338"/>
      <c r="B41" s="176" t="s">
        <v>454</v>
      </c>
      <c r="C41" s="5" t="s">
        <v>455</v>
      </c>
    </row>
    <row r="42" spans="1:4" s="2" customFormat="1" x14ac:dyDescent="0.25">
      <c r="A42" s="338"/>
      <c r="B42" s="18"/>
      <c r="C42" s="13"/>
    </row>
    <row r="43" spans="1:4" s="2" customFormat="1" ht="20.5" thickBot="1" x14ac:dyDescent="0.3">
      <c r="A43" s="469" t="s">
        <v>173</v>
      </c>
      <c r="B43" s="470"/>
      <c r="C43" s="471"/>
    </row>
    <row r="44" spans="1:4" s="4" customFormat="1" ht="12.5" x14ac:dyDescent="0.25">
      <c r="A44" s="484"/>
      <c r="B44" s="484"/>
      <c r="C44" s="484"/>
    </row>
    <row r="45" spans="1:4" s="2" customFormat="1" ht="26.25" customHeight="1" x14ac:dyDescent="0.25">
      <c r="A45" s="127">
        <v>1</v>
      </c>
      <c r="B45" s="461" t="s">
        <v>799</v>
      </c>
      <c r="C45" s="468"/>
    </row>
    <row r="46" spans="1:4" s="2" customFormat="1" ht="25" x14ac:dyDescent="0.25">
      <c r="A46" s="127"/>
      <c r="B46" s="485" t="s">
        <v>851</v>
      </c>
      <c r="C46" s="486"/>
      <c r="D46" s="320" t="s">
        <v>845</v>
      </c>
    </row>
    <row r="47" spans="1:4" s="2" customFormat="1" ht="27" customHeight="1" x14ac:dyDescent="0.25">
      <c r="A47" s="127">
        <v>2</v>
      </c>
      <c r="B47" s="461" t="s">
        <v>790</v>
      </c>
      <c r="C47" s="468"/>
    </row>
    <row r="48" spans="1:4" s="2" customFormat="1" x14ac:dyDescent="0.25">
      <c r="A48" s="127">
        <v>3</v>
      </c>
      <c r="B48" s="461" t="s">
        <v>174</v>
      </c>
      <c r="C48" s="468"/>
    </row>
    <row r="49" spans="1:4" s="2" customFormat="1" ht="37.5" customHeight="1" x14ac:dyDescent="0.25">
      <c r="A49" s="85" t="s">
        <v>437</v>
      </c>
      <c r="B49" s="461" t="s">
        <v>674</v>
      </c>
      <c r="C49" s="461"/>
    </row>
    <row r="50" spans="1:4" s="2" customFormat="1" ht="15" customHeight="1" x14ac:dyDescent="0.25">
      <c r="A50" s="85" t="s">
        <v>438</v>
      </c>
      <c r="B50" s="461" t="s">
        <v>445</v>
      </c>
      <c r="C50" s="461"/>
    </row>
    <row r="51" spans="1:4" s="2" customFormat="1" ht="18.75" customHeight="1" x14ac:dyDescent="0.25">
      <c r="A51" s="85" t="s">
        <v>439</v>
      </c>
      <c r="B51" s="461" t="s">
        <v>675</v>
      </c>
      <c r="C51" s="461"/>
    </row>
    <row r="52" spans="1:4" s="2" customFormat="1" ht="28.5" customHeight="1" x14ac:dyDescent="0.25">
      <c r="A52" s="85" t="s">
        <v>446</v>
      </c>
      <c r="B52" s="461" t="s">
        <v>676</v>
      </c>
      <c r="C52" s="461"/>
    </row>
    <row r="53" spans="1:4" s="2" customFormat="1" ht="17.25" customHeight="1" x14ac:dyDescent="0.25">
      <c r="A53" s="85" t="s">
        <v>447</v>
      </c>
      <c r="B53" s="461" t="s">
        <v>677</v>
      </c>
      <c r="C53" s="461"/>
    </row>
    <row r="54" spans="1:4" s="2" customFormat="1" ht="16.5" customHeight="1" x14ac:dyDescent="0.25">
      <c r="A54" s="127">
        <v>4</v>
      </c>
      <c r="B54" s="461" t="s">
        <v>854</v>
      </c>
      <c r="C54" s="468"/>
    </row>
    <row r="55" spans="1:4" s="2" customFormat="1" ht="26.25" customHeight="1" x14ac:dyDescent="0.25">
      <c r="A55" s="85" t="s">
        <v>441</v>
      </c>
      <c r="B55" s="461" t="s">
        <v>855</v>
      </c>
      <c r="C55" s="461"/>
    </row>
    <row r="56" spans="1:4" s="2" customFormat="1" ht="27.75" customHeight="1" x14ac:dyDescent="0.25">
      <c r="A56" s="173"/>
      <c r="B56" s="81" t="s">
        <v>400</v>
      </c>
      <c r="C56" s="27" t="s">
        <v>744</v>
      </c>
    </row>
    <row r="57" spans="1:4" s="2" customFormat="1" ht="27.75" customHeight="1" x14ac:dyDescent="0.25">
      <c r="A57" s="173"/>
      <c r="B57" s="82" t="s">
        <v>401</v>
      </c>
      <c r="C57" s="27" t="s">
        <v>745</v>
      </c>
    </row>
    <row r="58" spans="1:4" s="2" customFormat="1" ht="27.75" customHeight="1" x14ac:dyDescent="0.25">
      <c r="A58" s="173"/>
      <c r="B58" s="83" t="s">
        <v>402</v>
      </c>
      <c r="C58" s="27" t="s">
        <v>746</v>
      </c>
    </row>
    <row r="59" spans="1:4" s="2" customFormat="1" ht="25.5" customHeight="1" x14ac:dyDescent="0.25">
      <c r="A59" s="85" t="s">
        <v>442</v>
      </c>
      <c r="B59" s="461" t="s">
        <v>856</v>
      </c>
      <c r="C59" s="461"/>
    </row>
    <row r="60" spans="1:4" s="175" customFormat="1" ht="14.25" customHeight="1" x14ac:dyDescent="0.25">
      <c r="A60" s="85" t="s">
        <v>443</v>
      </c>
      <c r="B60" s="489" t="s">
        <v>857</v>
      </c>
      <c r="C60" s="489"/>
    </row>
    <row r="61" spans="1:4" s="175" customFormat="1" ht="16.5" customHeight="1" x14ac:dyDescent="0.25">
      <c r="A61" s="174">
        <v>5</v>
      </c>
      <c r="B61" s="223" t="s">
        <v>663</v>
      </c>
      <c r="C61" s="224"/>
    </row>
    <row r="62" spans="1:4" s="175" customFormat="1" ht="27.75" customHeight="1" x14ac:dyDescent="0.25">
      <c r="A62" s="250" t="s">
        <v>609</v>
      </c>
      <c r="B62" s="487" t="s">
        <v>667</v>
      </c>
      <c r="C62" s="488"/>
    </row>
    <row r="63" spans="1:4" s="2" customFormat="1" ht="13.5" customHeight="1" x14ac:dyDescent="0.25">
      <c r="A63" s="127">
        <v>6</v>
      </c>
      <c r="B63" s="462" t="s">
        <v>608</v>
      </c>
      <c r="C63" s="462"/>
    </row>
    <row r="64" spans="1:4" s="2" customFormat="1" ht="27.75" customHeight="1" x14ac:dyDescent="0.25">
      <c r="A64" s="85" t="s">
        <v>664</v>
      </c>
      <c r="B64" s="461" t="s">
        <v>672</v>
      </c>
      <c r="C64" s="461"/>
      <c r="D64" s="34"/>
    </row>
    <row r="65" spans="1:4" s="2" customFormat="1" ht="14.25" customHeight="1" x14ac:dyDescent="0.25">
      <c r="A65" s="85"/>
      <c r="B65" s="216"/>
      <c r="C65" s="216"/>
    </row>
    <row r="66" spans="1:4" ht="13.5" thickBot="1" x14ac:dyDescent="0.35"/>
    <row r="67" spans="1:4" ht="13.5" thickBot="1" x14ac:dyDescent="0.35">
      <c r="B67" s="463" t="s">
        <v>670</v>
      </c>
      <c r="C67" s="464"/>
    </row>
    <row r="68" spans="1:4" x14ac:dyDescent="0.3">
      <c r="B68" s="19" t="s">
        <v>60</v>
      </c>
      <c r="C68" s="35" t="str">
        <f ca="1">INDIRECT("'Change History'!$A$3")</f>
        <v>22.0.0</v>
      </c>
      <c r="D68" s="247"/>
    </row>
    <row r="69" spans="1:4" x14ac:dyDescent="0.3">
      <c r="B69" s="20" t="s">
        <v>61</v>
      </c>
      <c r="C69" s="309">
        <f>'Change History'!B172</f>
        <v>39951</v>
      </c>
    </row>
    <row r="70" spans="1:4" x14ac:dyDescent="0.3">
      <c r="B70" s="20" t="s">
        <v>62</v>
      </c>
      <c r="C70" s="309">
        <f ca="1">INDIRECT("'Change History'!$B$3")</f>
        <v>42878</v>
      </c>
    </row>
    <row r="71" spans="1:4" ht="13.5" thickBot="1" x14ac:dyDescent="0.35">
      <c r="B71" s="36" t="s">
        <v>28</v>
      </c>
      <c r="C71" s="37" t="str">
        <f ca="1">INDIRECT("'Change History'!$D$3")</f>
        <v>Ted Hills</v>
      </c>
    </row>
    <row r="73" spans="1:4" x14ac:dyDescent="0.3">
      <c r="C73" s="57"/>
      <c r="D73" s="90"/>
    </row>
    <row r="74" spans="1:4" x14ac:dyDescent="0.3">
      <c r="C74" s="57"/>
      <c r="D74" s="90"/>
    </row>
    <row r="75" spans="1:4" ht="20.5" thickBot="1" x14ac:dyDescent="0.3">
      <c r="A75" s="458" t="s">
        <v>860</v>
      </c>
      <c r="B75" s="459"/>
      <c r="C75" s="460"/>
      <c r="D75" s="90"/>
    </row>
    <row r="76" spans="1:4" x14ac:dyDescent="0.3">
      <c r="B76" s="57"/>
      <c r="C76" s="57"/>
      <c r="D76" s="90"/>
    </row>
    <row r="77" spans="1:4" ht="38" x14ac:dyDescent="0.3">
      <c r="B77" s="57" t="s">
        <v>861</v>
      </c>
      <c r="C77" s="59"/>
      <c r="D77" s="90"/>
    </row>
    <row r="78" spans="1:4" x14ac:dyDescent="0.3">
      <c r="B78" s="325" t="s">
        <v>862</v>
      </c>
      <c r="C78" s="57"/>
      <c r="D78" s="90"/>
    </row>
    <row r="79" spans="1:4" x14ac:dyDescent="0.3">
      <c r="B79" s="82" t="s">
        <v>863</v>
      </c>
      <c r="C79" s="57"/>
      <c r="D79" s="92"/>
    </row>
    <row r="80" spans="1:4" x14ac:dyDescent="0.3">
      <c r="B80" s="83" t="s">
        <v>864</v>
      </c>
      <c r="C80" s="57"/>
      <c r="D80" s="90"/>
    </row>
    <row r="81" spans="1:4" x14ac:dyDescent="0.3">
      <c r="B81" s="326" t="s">
        <v>48</v>
      </c>
      <c r="C81" s="57" t="s">
        <v>865</v>
      </c>
      <c r="D81" s="90"/>
    </row>
    <row r="82" spans="1:4" x14ac:dyDescent="0.3">
      <c r="C82" s="57"/>
      <c r="D82" s="90"/>
    </row>
    <row r="83" spans="1:4" ht="25.5" x14ac:dyDescent="0.3">
      <c r="B83" s="57" t="s">
        <v>866</v>
      </c>
      <c r="C83" s="57"/>
      <c r="D83" s="90"/>
    </row>
    <row r="84" spans="1:4" x14ac:dyDescent="0.3">
      <c r="B84" s="325" t="s">
        <v>47</v>
      </c>
      <c r="C84" s="57"/>
      <c r="D84" s="90"/>
    </row>
    <row r="85" spans="1:4" x14ac:dyDescent="0.3">
      <c r="B85" s="83" t="s">
        <v>867</v>
      </c>
      <c r="C85" s="57"/>
      <c r="D85" s="90"/>
    </row>
    <row r="86" spans="1:4" x14ac:dyDescent="0.3">
      <c r="B86" s="327" t="s">
        <v>868</v>
      </c>
      <c r="D86" s="90"/>
    </row>
    <row r="87" spans="1:4" x14ac:dyDescent="0.3">
      <c r="B87" s="82" t="s">
        <v>869</v>
      </c>
      <c r="D87" s="90"/>
    </row>
    <row r="88" spans="1:4" x14ac:dyDescent="0.3">
      <c r="B88" s="326" t="s">
        <v>934</v>
      </c>
      <c r="C88" s="57"/>
      <c r="D88" s="90"/>
    </row>
    <row r="89" spans="1:4" x14ac:dyDescent="0.3">
      <c r="D89" s="90"/>
    </row>
    <row r="90" spans="1:4" ht="12.5" x14ac:dyDescent="0.25">
      <c r="A90" s="85"/>
      <c r="B90" s="461" t="s">
        <v>870</v>
      </c>
      <c r="C90" s="461"/>
      <c r="D90" s="90"/>
    </row>
    <row r="91" spans="1:4" ht="14.5" x14ac:dyDescent="0.25">
      <c r="A91" s="328" t="s">
        <v>871</v>
      </c>
      <c r="B91" s="329" t="s">
        <v>872</v>
      </c>
      <c r="C91" s="330" t="s">
        <v>873</v>
      </c>
      <c r="D91" s="90"/>
    </row>
    <row r="92" spans="1:4" ht="14.5" x14ac:dyDescent="0.25">
      <c r="A92" s="328">
        <v>1</v>
      </c>
      <c r="B92" s="331" t="s">
        <v>874</v>
      </c>
      <c r="C92" s="332" t="s">
        <v>1298</v>
      </c>
      <c r="D92" s="90"/>
    </row>
    <row r="93" spans="1:4" ht="14.5" x14ac:dyDescent="0.25">
      <c r="A93" s="328">
        <v>2</v>
      </c>
      <c r="B93" s="331" t="s">
        <v>1155</v>
      </c>
      <c r="C93" s="332" t="s">
        <v>1141</v>
      </c>
      <c r="D93" s="90"/>
    </row>
    <row r="94" spans="1:4" ht="14.5" x14ac:dyDescent="0.25">
      <c r="A94" s="328">
        <v>3</v>
      </c>
      <c r="B94" s="331" t="s">
        <v>1140</v>
      </c>
      <c r="C94" s="332" t="s">
        <v>1142</v>
      </c>
      <c r="D94" s="90"/>
    </row>
    <row r="95" spans="1:4" ht="14.5" x14ac:dyDescent="0.25">
      <c r="A95" s="328">
        <v>4</v>
      </c>
      <c r="B95" s="331" t="s">
        <v>875</v>
      </c>
      <c r="C95" s="332" t="s">
        <v>876</v>
      </c>
      <c r="D95" s="90"/>
    </row>
    <row r="96" spans="1:4" x14ac:dyDescent="0.3">
      <c r="C96" s="57"/>
      <c r="D96" s="90"/>
    </row>
    <row r="97" spans="3:4" x14ac:dyDescent="0.3">
      <c r="C97" s="57"/>
      <c r="D97" s="90"/>
    </row>
    <row r="98" spans="3:4" x14ac:dyDescent="0.3">
      <c r="D98" s="90"/>
    </row>
    <row r="99" spans="3:4" x14ac:dyDescent="0.3">
      <c r="C99" s="57"/>
      <c r="D99" s="90"/>
    </row>
    <row r="100" spans="3:4" x14ac:dyDescent="0.3">
      <c r="C100" s="57"/>
      <c r="D100" s="90"/>
    </row>
    <row r="101" spans="3:4" x14ac:dyDescent="0.3">
      <c r="D101" s="90"/>
    </row>
    <row r="102" spans="3:4" x14ac:dyDescent="0.3">
      <c r="D102" s="90"/>
    </row>
    <row r="103" spans="3:4" x14ac:dyDescent="0.3">
      <c r="C103" s="57"/>
      <c r="D103" s="90"/>
    </row>
    <row r="104" spans="3:4" x14ac:dyDescent="0.3">
      <c r="C104" s="57"/>
      <c r="D104" s="90"/>
    </row>
    <row r="105" spans="3:4" x14ac:dyDescent="0.3">
      <c r="C105" s="57"/>
      <c r="D105" s="90"/>
    </row>
    <row r="106" spans="3:4" x14ac:dyDescent="0.3">
      <c r="C106" s="57"/>
      <c r="D106" s="90"/>
    </row>
    <row r="107" spans="3:4" x14ac:dyDescent="0.3">
      <c r="C107" s="57"/>
      <c r="D107" s="90"/>
    </row>
    <row r="108" spans="3:4" x14ac:dyDescent="0.3">
      <c r="C108" s="57"/>
      <c r="D108" s="90"/>
    </row>
  </sheetData>
  <mergeCells count="43">
    <mergeCell ref="B62:C62"/>
    <mergeCell ref="B60:C60"/>
    <mergeCell ref="B55:C55"/>
    <mergeCell ref="B49:C49"/>
    <mergeCell ref="B50:C50"/>
    <mergeCell ref="B51:C51"/>
    <mergeCell ref="B52:C52"/>
    <mergeCell ref="B53:C53"/>
    <mergeCell ref="B54:C54"/>
    <mergeCell ref="B59:C59"/>
    <mergeCell ref="A44:C44"/>
    <mergeCell ref="B46:C46"/>
    <mergeCell ref="B45:C45"/>
    <mergeCell ref="B47:C47"/>
    <mergeCell ref="B48:C48"/>
    <mergeCell ref="A1:C1"/>
    <mergeCell ref="A2:C2"/>
    <mergeCell ref="B29:C29"/>
    <mergeCell ref="B4:C4"/>
    <mergeCell ref="B12:C12"/>
    <mergeCell ref="B7:C7"/>
    <mergeCell ref="B23:C23"/>
    <mergeCell ref="B17:C17"/>
    <mergeCell ref="A3:C3"/>
    <mergeCell ref="B28:C28"/>
    <mergeCell ref="B20:C20"/>
    <mergeCell ref="B9:C9"/>
    <mergeCell ref="B8:C8"/>
    <mergeCell ref="B6:C6"/>
    <mergeCell ref="B19:C19"/>
    <mergeCell ref="B22:C22"/>
    <mergeCell ref="B32:C32"/>
    <mergeCell ref="B30:C30"/>
    <mergeCell ref="B33:C33"/>
    <mergeCell ref="B34:C34"/>
    <mergeCell ref="A43:C43"/>
    <mergeCell ref="B35:C35"/>
    <mergeCell ref="B36:C36"/>
    <mergeCell ref="A75:C75"/>
    <mergeCell ref="B90:C90"/>
    <mergeCell ref="B63:C63"/>
    <mergeCell ref="B64:C64"/>
    <mergeCell ref="B67:C67"/>
  </mergeCells>
  <phoneticPr fontId="2" type="noConversion"/>
  <hyperlinks>
    <hyperlink ref="D17" r:id="rId1" location="Scorecard_Profiles"/>
    <hyperlink ref="D12" r:id="rId2" display="Governance Levels for System Assets"/>
    <hyperlink ref="D28" r:id="rId3"/>
    <hyperlink ref="D46" r:id="rId4"/>
  </hyperlinks>
  <pageMargins left="0.75" right="0.75" top="1" bottom="1" header="0.5" footer="0.5"/>
  <pageSetup scale="97" fitToHeight="100" orientation="landscape" r:id="rId5"/>
  <headerFooter alignWithMargins="0">
    <oddHeader>&amp;L&amp;F&amp;C&amp;A&amp;R&amp;D</oddHeader>
    <oddFooter>&amp;C&amp;P of &amp;N</oddFooter>
  </headerFooter>
  <drawing r:id="rId6"/>
  <legacyDrawing r:id="rId7"/>
  <mc:AlternateContent xmlns:mc="http://schemas.openxmlformats.org/markup-compatibility/2006">
    <mc:Choice Requires="x14">
      <controls>
        <mc:AlternateContent xmlns:mc="http://schemas.openxmlformats.org/markup-compatibility/2006">
          <mc:Choice Requires="x14">
            <control shapeId="3073" r:id="rId8" name="Button 1">
              <controlPr defaultSize="0" print="0" autoFill="0" autoPict="0" macro="[0]!InitFromPrev">
                <anchor moveWithCells="1" sizeWithCells="1">
                  <from>
                    <xdr:col>2</xdr:col>
                    <xdr:colOff>6718300</xdr:colOff>
                    <xdr:row>3</xdr:row>
                    <xdr:rowOff>0</xdr:rowOff>
                  </from>
                  <to>
                    <xdr:col>4</xdr:col>
                    <xdr:colOff>0</xdr:colOff>
                    <xdr:row>3</xdr:row>
                    <xdr:rowOff>793750</xdr:rowOff>
                  </to>
                </anchor>
              </controlPr>
            </control>
          </mc:Choice>
        </mc:AlternateContent>
        <mc:AlternateContent xmlns:mc="http://schemas.openxmlformats.org/markup-compatibility/2006">
          <mc:Choice Requires="x14">
            <control shapeId="3074" r:id="rId9" name="Button 2">
              <controlPr defaultSize="0" print="0" autoFill="0" autoPict="0" macro="[0]!UpdateScorecard">
                <anchor moveWithCells="1" sizeWithCells="1">
                  <from>
                    <xdr:col>3</xdr:col>
                    <xdr:colOff>19050</xdr:colOff>
                    <xdr:row>48</xdr:row>
                    <xdr:rowOff>0</xdr:rowOff>
                  </from>
                  <to>
                    <xdr:col>3</xdr:col>
                    <xdr:colOff>876300</xdr:colOff>
                    <xdr:row>49</xdr:row>
                    <xdr:rowOff>0</xdr:rowOff>
                  </to>
                </anchor>
              </controlPr>
            </control>
          </mc:Choice>
        </mc:AlternateContent>
        <mc:AlternateContent xmlns:mc="http://schemas.openxmlformats.org/markup-compatibility/2006">
          <mc:Choice Requires="x14">
            <control shapeId="3075" r:id="rId10" name="Button 3">
              <controlPr defaultSize="0" print="0" autoFill="0" autoPict="0" macro="[0]!SerializeToJSON">
                <anchor moveWithCells="1" sizeWithCells="1">
                  <from>
                    <xdr:col>3</xdr:col>
                    <xdr:colOff>127000</xdr:colOff>
                    <xdr:row>62</xdr:row>
                    <xdr:rowOff>127000</xdr:rowOff>
                  </from>
                  <to>
                    <xdr:col>3</xdr:col>
                    <xdr:colOff>908050</xdr:colOff>
                    <xdr:row>64</xdr:row>
                    <xdr:rowOff>0</xdr:rowOff>
                  </to>
                </anchor>
              </controlPr>
            </control>
          </mc:Choice>
        </mc:AlternateContent>
        <mc:AlternateContent xmlns:mc="http://schemas.openxmlformats.org/markup-compatibility/2006">
          <mc:Choice Requires="x14">
            <control shapeId="3076" r:id="rId11" name="Button 4">
              <controlPr defaultSize="0" print="0" autoFill="0" autoPict="0">
                <anchor moveWithCells="1" sizeWithCells="1">
                  <from>
                    <xdr:col>2</xdr:col>
                    <xdr:colOff>6718300</xdr:colOff>
                    <xdr:row>3</xdr:row>
                    <xdr:rowOff>0</xdr:rowOff>
                  </from>
                  <to>
                    <xdr:col>4</xdr:col>
                    <xdr:colOff>0</xdr:colOff>
                    <xdr:row>3</xdr:row>
                    <xdr:rowOff>793750</xdr:rowOff>
                  </to>
                </anchor>
              </controlPr>
            </control>
          </mc:Choice>
        </mc:AlternateContent>
        <mc:AlternateContent xmlns:mc="http://schemas.openxmlformats.org/markup-compatibility/2006">
          <mc:Choice Requires="x14">
            <control shapeId="3077" r:id="rId12" name="Button 5">
              <controlPr defaultSize="0" print="0" autoFill="0" autoPict="0" macro="[0]!InitFromPrev">
                <anchor moveWithCells="1" sizeWithCells="1">
                  <from>
                    <xdr:col>2</xdr:col>
                    <xdr:colOff>6718300</xdr:colOff>
                    <xdr:row>3</xdr:row>
                    <xdr:rowOff>0</xdr:rowOff>
                  </from>
                  <to>
                    <xdr:col>4</xdr:col>
                    <xdr:colOff>0</xdr:colOff>
                    <xdr:row>3</xdr:row>
                    <xdr:rowOff>793750</xdr:rowOff>
                  </to>
                </anchor>
              </controlPr>
            </control>
          </mc:Choice>
        </mc:AlternateContent>
        <mc:AlternateContent xmlns:mc="http://schemas.openxmlformats.org/markup-compatibility/2006">
          <mc:Choice Requires="x14">
            <control shapeId="3078" r:id="rId13" name="Button 6">
              <controlPr defaultSize="0" print="0" autoFill="0" autoPict="0" macro="[0]!DownloadScorecardFromGlitz">
                <anchor moveWithCells="1">
                  <from>
                    <xdr:col>3</xdr:col>
                    <xdr:colOff>12700</xdr:colOff>
                    <xdr:row>6</xdr:row>
                    <xdr:rowOff>38100</xdr:rowOff>
                  </from>
                  <to>
                    <xdr:col>4</xdr:col>
                    <xdr:colOff>0</xdr:colOff>
                    <xdr:row>8</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Z50"/>
  <sheetViews>
    <sheetView zoomScaleNormal="100" workbookViewId="0">
      <selection sqref="A1:L1"/>
    </sheetView>
  </sheetViews>
  <sheetFormatPr defaultRowHeight="12.5" x14ac:dyDescent="0.25"/>
  <cols>
    <col min="1" max="1" width="13" customWidth="1"/>
    <col min="2" max="2" width="12.81640625" customWidth="1"/>
    <col min="3" max="3" width="16.7265625" customWidth="1"/>
    <col min="4" max="4" width="15" customWidth="1"/>
    <col min="5" max="5" width="16.7265625" customWidth="1"/>
    <col min="6" max="6" width="16.1796875" customWidth="1"/>
    <col min="7" max="7" width="10.26953125" customWidth="1"/>
    <col min="8" max="8" width="13" customWidth="1"/>
    <col min="9" max="9" width="14.1796875" customWidth="1"/>
    <col min="10" max="10" width="14.81640625" customWidth="1"/>
    <col min="11" max="12" width="14.7265625" customWidth="1"/>
    <col min="13" max="14" width="14.7265625" hidden="1" customWidth="1"/>
    <col min="15" max="15" width="14.7265625" customWidth="1"/>
    <col min="25" max="25" width="84.1796875" style="374" customWidth="1"/>
    <col min="26" max="26" width="68.81640625" style="374" customWidth="1"/>
  </cols>
  <sheetData>
    <row r="1" spans="1:26" ht="17.5" x14ac:dyDescent="0.35">
      <c r="A1" s="542" t="s">
        <v>1301</v>
      </c>
      <c r="B1" s="542"/>
      <c r="C1" s="542"/>
      <c r="D1" s="542"/>
      <c r="E1" s="542"/>
      <c r="F1" s="542"/>
      <c r="G1" s="542"/>
      <c r="H1" s="542"/>
      <c r="I1" s="542"/>
      <c r="J1" s="542"/>
      <c r="K1" s="542"/>
      <c r="L1" s="542"/>
    </row>
    <row r="2" spans="1:26" s="4" customFormat="1" ht="14.25" customHeight="1" x14ac:dyDescent="0.35">
      <c r="A2" s="16"/>
      <c r="B2" s="16"/>
      <c r="C2" s="28"/>
      <c r="D2" s="28"/>
      <c r="E2" s="29"/>
      <c r="F2" s="17"/>
      <c r="G2" s="17"/>
      <c r="H2" s="17"/>
      <c r="I2" s="17"/>
      <c r="J2" s="17"/>
      <c r="Y2" s="218"/>
      <c r="Z2" s="218"/>
    </row>
    <row r="3" spans="1:26" s="4" customFormat="1" ht="52.5" customHeight="1" x14ac:dyDescent="0.25">
      <c r="A3" s="249" t="s">
        <v>658</v>
      </c>
      <c r="B3" s="286" t="s">
        <v>427</v>
      </c>
      <c r="C3" s="549" t="s">
        <v>426</v>
      </c>
      <c r="D3" s="550"/>
      <c r="E3" s="551"/>
      <c r="F3" s="539" t="s">
        <v>309</v>
      </c>
      <c r="G3" s="540"/>
      <c r="H3" s="540"/>
      <c r="I3" s="540"/>
      <c r="J3" s="541"/>
      <c r="K3" s="240" t="s">
        <v>325</v>
      </c>
      <c r="L3" s="126" t="s">
        <v>425</v>
      </c>
      <c r="M3" s="112"/>
      <c r="Y3" s="218"/>
      <c r="Z3" s="218"/>
    </row>
    <row r="4" spans="1:26" ht="19.5" customHeight="1" x14ac:dyDescent="0.35">
      <c r="A4" s="504" t="s">
        <v>27</v>
      </c>
      <c r="B4" s="505"/>
      <c r="C4" s="505"/>
      <c r="D4" s="505"/>
      <c r="E4" s="505"/>
      <c r="F4" s="505"/>
      <c r="G4" s="505"/>
      <c r="H4" s="505"/>
      <c r="I4" s="505"/>
      <c r="J4" s="505"/>
      <c r="K4" s="505"/>
      <c r="L4" s="505"/>
      <c r="M4" s="113"/>
    </row>
    <row r="5" spans="1:26" s="30" customFormat="1" ht="30.75" customHeight="1" x14ac:dyDescent="0.3">
      <c r="A5" s="114" t="s">
        <v>26</v>
      </c>
      <c r="B5" s="114" t="s">
        <v>659</v>
      </c>
      <c r="C5" s="114" t="s">
        <v>647</v>
      </c>
      <c r="D5" s="193" t="s">
        <v>648</v>
      </c>
      <c r="E5" s="114" t="s">
        <v>649</v>
      </c>
      <c r="F5" s="194" t="s">
        <v>650</v>
      </c>
      <c r="G5" s="114" t="s">
        <v>33</v>
      </c>
      <c r="H5" s="552"/>
      <c r="I5" s="553"/>
      <c r="J5" s="114" t="s">
        <v>272</v>
      </c>
      <c r="K5" s="114" t="s">
        <v>273</v>
      </c>
      <c r="L5" s="114" t="s">
        <v>274</v>
      </c>
      <c r="Y5" s="219"/>
      <c r="Z5" s="219"/>
    </row>
    <row r="6" spans="1:26" s="282" customFormat="1" ht="24.75" customHeight="1" x14ac:dyDescent="0.25">
      <c r="A6" s="197"/>
      <c r="B6" s="370">
        <v>0</v>
      </c>
      <c r="C6" s="195">
        <v>0</v>
      </c>
      <c r="D6" s="196" t="s">
        <v>570</v>
      </c>
      <c r="E6" s="198">
        <v>0</v>
      </c>
      <c r="F6" s="239" t="s">
        <v>571</v>
      </c>
      <c r="G6" s="199"/>
      <c r="H6" s="554"/>
      <c r="I6" s="555"/>
      <c r="J6" s="122">
        <v>0</v>
      </c>
      <c r="K6" s="123">
        <v>0</v>
      </c>
      <c r="L6" s="124">
        <v>0</v>
      </c>
      <c r="M6" s="279"/>
      <c r="N6" s="280"/>
      <c r="O6" s="281"/>
      <c r="Y6" s="220"/>
      <c r="Z6" s="220"/>
    </row>
    <row r="7" spans="1:26" s="31" customFormat="1" ht="26.25" customHeight="1" x14ac:dyDescent="0.3">
      <c r="A7" s="543" t="s">
        <v>34</v>
      </c>
      <c r="B7" s="544"/>
      <c r="C7" s="545"/>
      <c r="D7" s="546"/>
      <c r="E7" s="547"/>
      <c r="F7" s="547"/>
      <c r="G7" s="547"/>
      <c r="H7" s="547"/>
      <c r="I7" s="547"/>
      <c r="J7" s="547"/>
      <c r="K7" s="547"/>
      <c r="L7" s="548"/>
      <c r="M7" s="112"/>
      <c r="N7" s="4"/>
      <c r="Y7" s="220"/>
      <c r="Z7" s="220"/>
    </row>
    <row r="8" spans="1:26" s="4" customFormat="1" ht="24" customHeight="1" x14ac:dyDescent="0.25">
      <c r="A8" s="536" t="s">
        <v>310</v>
      </c>
      <c r="B8" s="537"/>
      <c r="C8" s="538"/>
      <c r="D8" s="539"/>
      <c r="E8" s="540"/>
      <c r="F8" s="540"/>
      <c r="G8" s="540"/>
      <c r="H8" s="540"/>
      <c r="I8" s="540"/>
      <c r="J8" s="540"/>
      <c r="K8" s="540"/>
      <c r="L8" s="541"/>
      <c r="M8" s="112"/>
      <c r="Y8" s="218"/>
      <c r="Z8" s="218"/>
    </row>
    <row r="9" spans="1:26" s="4" customFormat="1" ht="21" customHeight="1" x14ac:dyDescent="0.25">
      <c r="A9" s="536" t="s">
        <v>651</v>
      </c>
      <c r="B9" s="537"/>
      <c r="C9" s="538"/>
      <c r="D9" s="559" t="s">
        <v>652</v>
      </c>
      <c r="E9" s="560"/>
      <c r="F9" s="556"/>
      <c r="G9" s="557"/>
      <c r="H9" s="557"/>
      <c r="I9" s="557"/>
      <c r="J9" s="557"/>
      <c r="K9" s="557"/>
      <c r="L9" s="558"/>
      <c r="M9" s="112"/>
      <c r="Y9" s="218"/>
      <c r="Z9" s="218"/>
    </row>
    <row r="10" spans="1:26" s="4" customFormat="1" ht="19.5" customHeight="1" thickBot="1" x14ac:dyDescent="0.4">
      <c r="A10" s="561" t="s">
        <v>448</v>
      </c>
      <c r="B10" s="562"/>
      <c r="C10" s="562"/>
      <c r="D10" s="562"/>
      <c r="E10" s="562"/>
      <c r="F10" s="562"/>
      <c r="G10" s="562"/>
      <c r="H10" s="562"/>
      <c r="I10" s="562"/>
      <c r="J10" s="562"/>
      <c r="K10" s="562"/>
      <c r="L10" s="562"/>
      <c r="M10" s="112"/>
      <c r="N10" s="178"/>
      <c r="Y10" s="218"/>
      <c r="Z10" s="218"/>
    </row>
    <row r="11" spans="1:26" s="203" customFormat="1" ht="19.5" customHeight="1" thickBot="1" x14ac:dyDescent="0.4">
      <c r="A11" s="498" t="s">
        <v>412</v>
      </c>
      <c r="B11" s="498"/>
      <c r="C11" s="204" t="s">
        <v>417</v>
      </c>
      <c r="D11" s="499" t="s">
        <v>403</v>
      </c>
      <c r="E11" s="500"/>
      <c r="F11" s="501"/>
      <c r="G11" s="499" t="s">
        <v>925</v>
      </c>
      <c r="H11" s="500"/>
      <c r="I11" s="500"/>
      <c r="J11" s="501"/>
      <c r="K11" s="397" t="s">
        <v>952</v>
      </c>
      <c r="L11" s="397" t="s">
        <v>953</v>
      </c>
      <c r="M11" s="201"/>
      <c r="N11" s="202"/>
      <c r="Y11" s="222"/>
      <c r="Z11" s="222"/>
    </row>
    <row r="12" spans="1:26" s="178" customFormat="1" ht="45" customHeight="1" thickBot="1" x14ac:dyDescent="0.3">
      <c r="A12" s="493" t="s">
        <v>411</v>
      </c>
      <c r="B12" s="493"/>
      <c r="C12" s="200"/>
      <c r="D12" s="490"/>
      <c r="E12" s="491"/>
      <c r="F12" s="492"/>
      <c r="G12" s="490"/>
      <c r="H12" s="491"/>
      <c r="I12" s="491"/>
      <c r="J12" s="492"/>
      <c r="K12" s="117">
        <f>D19+D20</f>
        <v>0</v>
      </c>
      <c r="L12" s="117">
        <f>E19+E20</f>
        <v>0</v>
      </c>
      <c r="M12" s="177"/>
      <c r="N12" s="178" t="s">
        <v>684</v>
      </c>
      <c r="Y12" s="217"/>
      <c r="Z12" s="217"/>
    </row>
    <row r="13" spans="1:26" s="178" customFormat="1" ht="45" customHeight="1" thickBot="1" x14ac:dyDescent="0.3">
      <c r="A13" s="493" t="s">
        <v>1139</v>
      </c>
      <c r="B13" s="493"/>
      <c r="C13" s="200"/>
      <c r="D13" s="490"/>
      <c r="E13" s="491"/>
      <c r="F13" s="492"/>
      <c r="G13" s="490"/>
      <c r="H13" s="491"/>
      <c r="I13" s="491"/>
      <c r="J13" s="492"/>
      <c r="K13" s="117">
        <f>D21+D22+D23</f>
        <v>0</v>
      </c>
      <c r="L13" s="117">
        <f>E21+E22+E23</f>
        <v>0</v>
      </c>
      <c r="M13" s="177"/>
      <c r="N13" s="178" t="s">
        <v>685</v>
      </c>
      <c r="Y13" s="217"/>
      <c r="Z13" s="217"/>
    </row>
    <row r="14" spans="1:26" s="178" customFormat="1" ht="45" customHeight="1" thickBot="1" x14ac:dyDescent="0.3">
      <c r="A14" s="493" t="s">
        <v>1140</v>
      </c>
      <c r="B14" s="493"/>
      <c r="C14" s="200"/>
      <c r="D14" s="490"/>
      <c r="E14" s="491"/>
      <c r="F14" s="492"/>
      <c r="G14" s="490"/>
      <c r="H14" s="491"/>
      <c r="I14" s="491"/>
      <c r="J14" s="492"/>
      <c r="K14" s="117">
        <f>D24+D25+D26+D27</f>
        <v>0</v>
      </c>
      <c r="L14" s="117">
        <f>E24+E25+E26+E27</f>
        <v>0</v>
      </c>
      <c r="M14" s="177"/>
      <c r="N14" s="178" t="s">
        <v>686</v>
      </c>
      <c r="Y14" s="217"/>
      <c r="Z14" s="217"/>
    </row>
    <row r="15" spans="1:26" s="178" customFormat="1" ht="45" customHeight="1" thickBot="1" x14ac:dyDescent="0.3">
      <c r="A15" s="493" t="s">
        <v>73</v>
      </c>
      <c r="B15" s="493"/>
      <c r="C15" s="200"/>
      <c r="D15" s="490"/>
      <c r="E15" s="491"/>
      <c r="F15" s="492"/>
      <c r="G15" s="490"/>
      <c r="H15" s="491"/>
      <c r="I15" s="491"/>
      <c r="J15" s="492"/>
      <c r="K15" s="117">
        <f>D28</f>
        <v>0</v>
      </c>
      <c r="L15" s="117">
        <f>E28</f>
        <v>0</v>
      </c>
      <c r="M15" s="177"/>
      <c r="N15" s="178" t="s">
        <v>687</v>
      </c>
      <c r="Y15" s="217"/>
      <c r="Z15" s="217"/>
    </row>
    <row r="16" spans="1:26" s="4" customFormat="1" ht="21" customHeight="1" x14ac:dyDescent="0.35">
      <c r="A16" s="504" t="s">
        <v>575</v>
      </c>
      <c r="B16" s="505"/>
      <c r="C16" s="505"/>
      <c r="D16" s="505"/>
      <c r="E16" s="505"/>
      <c r="F16" s="505"/>
      <c r="G16" s="505"/>
      <c r="H16" s="505"/>
      <c r="I16" s="505"/>
      <c r="J16" s="505"/>
      <c r="K16" s="505"/>
      <c r="L16" s="505"/>
      <c r="M16" s="112"/>
      <c r="N16"/>
      <c r="Y16" s="218"/>
      <c r="Z16" s="218"/>
    </row>
    <row r="17" spans="1:26" ht="21" customHeight="1" x14ac:dyDescent="0.25">
      <c r="A17" s="502" t="s">
        <v>143</v>
      </c>
      <c r="B17" s="509" t="s">
        <v>266</v>
      </c>
      <c r="C17" s="510"/>
      <c r="D17" s="513" t="s">
        <v>734</v>
      </c>
      <c r="E17" s="514"/>
      <c r="F17" s="502" t="s">
        <v>33</v>
      </c>
      <c r="G17" s="495" t="s">
        <v>267</v>
      </c>
      <c r="H17" s="495"/>
      <c r="I17" s="495"/>
      <c r="J17" s="495"/>
      <c r="K17" s="495"/>
      <c r="L17" s="495"/>
      <c r="M17" s="115"/>
    </row>
    <row r="18" spans="1:26" ht="21" customHeight="1" x14ac:dyDescent="0.25">
      <c r="A18" s="503"/>
      <c r="B18" s="511"/>
      <c r="C18" s="512"/>
      <c r="D18" s="169" t="s">
        <v>732</v>
      </c>
      <c r="E18" s="169" t="s">
        <v>733</v>
      </c>
      <c r="F18" s="503"/>
      <c r="G18" s="495"/>
      <c r="H18" s="495"/>
      <c r="I18" s="495"/>
      <c r="J18" s="495"/>
      <c r="K18" s="495"/>
      <c r="L18" s="495"/>
    </row>
    <row r="19" spans="1:26" ht="30" customHeight="1" x14ac:dyDescent="0.25">
      <c r="A19" s="170">
        <v>1</v>
      </c>
      <c r="B19" s="496" t="s">
        <v>90</v>
      </c>
      <c r="C19" s="497"/>
      <c r="D19" s="117">
        <f>'Debt Capture'!C13</f>
        <v>0</v>
      </c>
      <c r="E19" s="117">
        <f>'Debt Capture'!D13</f>
        <v>0</v>
      </c>
      <c r="F19" s="118">
        <f>'1. Secure'!$E$2</f>
        <v>0</v>
      </c>
      <c r="G19" s="494" t="str">
        <f>'9. Managed Data'!$F$2</f>
        <v>EA Summary Comments</v>
      </c>
      <c r="H19" s="494"/>
      <c r="I19" s="494"/>
      <c r="J19" s="494"/>
      <c r="K19" s="494"/>
      <c r="L19" s="494"/>
    </row>
    <row r="20" spans="1:26" ht="30" customHeight="1" x14ac:dyDescent="0.25">
      <c r="A20" s="170">
        <v>2</v>
      </c>
      <c r="B20" s="506" t="s">
        <v>72</v>
      </c>
      <c r="C20" s="507"/>
      <c r="D20" s="117">
        <f>'Debt Capture'!C14</f>
        <v>0</v>
      </c>
      <c r="E20" s="117">
        <f>'Debt Capture'!D14</f>
        <v>0</v>
      </c>
      <c r="F20" s="118">
        <f>'2. Compliant'!$E$2</f>
        <v>0</v>
      </c>
      <c r="G20" s="494" t="str">
        <f>'7. Modular'!$F$2</f>
        <v>EA Summary Comments</v>
      </c>
      <c r="H20" s="494"/>
      <c r="I20" s="494"/>
      <c r="J20" s="494"/>
      <c r="K20" s="494"/>
      <c r="L20" s="494"/>
    </row>
    <row r="21" spans="1:26" ht="30" customHeight="1" x14ac:dyDescent="0.25">
      <c r="A21" s="170">
        <v>3</v>
      </c>
      <c r="B21" s="496" t="s">
        <v>93</v>
      </c>
      <c r="C21" s="497"/>
      <c r="D21" s="117">
        <f>'Debt Capture'!C15</f>
        <v>0</v>
      </c>
      <c r="E21" s="117">
        <f>'Debt Capture'!D15</f>
        <v>0</v>
      </c>
      <c r="F21" s="118">
        <f>'3. Reliable'!$E$2</f>
        <v>0</v>
      </c>
      <c r="G21" s="494" t="str">
        <f>'6. Simple'!$F$2</f>
        <v>EA Summary Comments</v>
      </c>
      <c r="H21" s="494"/>
      <c r="I21" s="494"/>
      <c r="J21" s="494"/>
      <c r="K21" s="494"/>
      <c r="L21" s="494"/>
    </row>
    <row r="22" spans="1:26" ht="30" customHeight="1" x14ac:dyDescent="0.25">
      <c r="A22" s="170">
        <v>4</v>
      </c>
      <c r="B22" s="506" t="s">
        <v>91</v>
      </c>
      <c r="C22" s="507"/>
      <c r="D22" s="117">
        <f>'Debt Capture'!C16</f>
        <v>0</v>
      </c>
      <c r="E22" s="117">
        <f>'Debt Capture'!D16</f>
        <v>0</v>
      </c>
      <c r="F22" s="118">
        <f>'4. Scalable'!$E$2</f>
        <v>0</v>
      </c>
      <c r="G22" s="494" t="str">
        <f>'1. Secure'!$F$2</f>
        <v>EA Summary Comments</v>
      </c>
      <c r="H22" s="494"/>
      <c r="I22" s="494"/>
      <c r="J22" s="494"/>
      <c r="K22" s="494"/>
      <c r="L22" s="494"/>
    </row>
    <row r="23" spans="1:26" ht="30" customHeight="1" x14ac:dyDescent="0.25">
      <c r="A23" s="170">
        <v>5</v>
      </c>
      <c r="B23" s="496" t="s">
        <v>92</v>
      </c>
      <c r="C23" s="497"/>
      <c r="D23" s="117">
        <f>'Debt Capture'!C17</f>
        <v>0</v>
      </c>
      <c r="E23" s="117">
        <f>'Debt Capture'!D17</f>
        <v>0</v>
      </c>
      <c r="F23" s="118">
        <f>'5. Manageable'!$E$2</f>
        <v>0</v>
      </c>
      <c r="G23" s="494" t="str">
        <f>'4. Scalable'!$F$2</f>
        <v>EA Summary Comments</v>
      </c>
      <c r="H23" s="494"/>
      <c r="I23" s="494"/>
      <c r="J23" s="494"/>
      <c r="K23" s="494"/>
      <c r="L23" s="494"/>
    </row>
    <row r="24" spans="1:26" ht="30" customHeight="1" x14ac:dyDescent="0.25">
      <c r="A24" s="170">
        <v>6</v>
      </c>
      <c r="B24" s="506" t="s">
        <v>88</v>
      </c>
      <c r="C24" s="507"/>
      <c r="D24" s="117">
        <f>'Debt Capture'!C18</f>
        <v>0</v>
      </c>
      <c r="E24" s="117">
        <f>'Debt Capture'!D18</f>
        <v>0</v>
      </c>
      <c r="F24" s="118">
        <f>'6. Simple'!$E$2</f>
        <v>0</v>
      </c>
      <c r="G24" s="494" t="str">
        <f>'5. Manageable'!$F$2</f>
        <v>EA Summary Comments</v>
      </c>
      <c r="H24" s="494"/>
      <c r="I24" s="494"/>
      <c r="J24" s="494"/>
      <c r="K24" s="494"/>
      <c r="L24" s="494"/>
    </row>
    <row r="25" spans="1:26" ht="30" customHeight="1" x14ac:dyDescent="0.25">
      <c r="A25" s="170">
        <v>7</v>
      </c>
      <c r="B25" s="496" t="s">
        <v>263</v>
      </c>
      <c r="C25" s="497"/>
      <c r="D25" s="117">
        <f>'Debt Capture'!C19</f>
        <v>0</v>
      </c>
      <c r="E25" s="117">
        <f>'Debt Capture'!D19</f>
        <v>0</v>
      </c>
      <c r="F25" s="118">
        <f>'7. Modular'!$E$2</f>
        <v>0</v>
      </c>
      <c r="G25" s="494" t="str">
        <f>'3. Reliable'!$F$2</f>
        <v>EA Summary Comments</v>
      </c>
      <c r="H25" s="494"/>
      <c r="I25" s="494"/>
      <c r="J25" s="494"/>
      <c r="K25" s="494"/>
      <c r="L25" s="494"/>
    </row>
    <row r="26" spans="1:26" ht="30" customHeight="1" x14ac:dyDescent="0.25">
      <c r="A26" s="170">
        <v>8</v>
      </c>
      <c r="B26" s="456" t="s">
        <v>14</v>
      </c>
      <c r="C26" s="456"/>
      <c r="D26" s="117">
        <f>'Debt Capture'!C20</f>
        <v>0</v>
      </c>
      <c r="E26" s="117">
        <f>'Debt Capture'!D20</f>
        <v>0</v>
      </c>
      <c r="F26" s="118">
        <f>'8. Maintainable'!$E$2</f>
        <v>0</v>
      </c>
      <c r="G26" s="494" t="str">
        <f>'3. Reliable'!$F$2</f>
        <v>EA Summary Comments</v>
      </c>
      <c r="H26" s="494"/>
      <c r="I26" s="494"/>
      <c r="J26" s="494"/>
      <c r="K26" s="494"/>
      <c r="L26" s="494"/>
      <c r="Y26" s="455"/>
      <c r="Z26" s="455"/>
    </row>
    <row r="27" spans="1:26" ht="30" customHeight="1" x14ac:dyDescent="0.25">
      <c r="A27" s="170">
        <v>9</v>
      </c>
      <c r="B27" s="506" t="s">
        <v>1008</v>
      </c>
      <c r="C27" s="507"/>
      <c r="D27" s="117">
        <f>'Debt Capture'!C21</f>
        <v>0</v>
      </c>
      <c r="E27" s="117">
        <f>'Debt Capture'!D21</f>
        <v>0</v>
      </c>
      <c r="F27" s="118">
        <f>'9. Managed Data'!$E$2</f>
        <v>0</v>
      </c>
      <c r="G27" s="494" t="str">
        <f>'10. Global'!$F$2</f>
        <v>EA Summary Comments</v>
      </c>
      <c r="H27" s="494"/>
      <c r="I27" s="494"/>
      <c r="J27" s="494"/>
      <c r="K27" s="494"/>
      <c r="L27" s="494"/>
      <c r="N27" s="121"/>
    </row>
    <row r="28" spans="1:26" ht="30" customHeight="1" x14ac:dyDescent="0.25">
      <c r="A28" s="170">
        <v>10</v>
      </c>
      <c r="B28" s="496" t="s">
        <v>73</v>
      </c>
      <c r="C28" s="497"/>
      <c r="D28" s="117">
        <f>'Debt Capture'!C22</f>
        <v>0</v>
      </c>
      <c r="E28" s="117">
        <f>'Debt Capture'!D22</f>
        <v>0</v>
      </c>
      <c r="F28" s="118">
        <f>'10. Global'!$E$2</f>
        <v>0</v>
      </c>
      <c r="G28" s="494" t="str">
        <f>'8. Maintainable'!$F$2</f>
        <v>EA Summary Comments</v>
      </c>
      <c r="H28" s="494"/>
      <c r="I28" s="494"/>
      <c r="J28" s="494"/>
      <c r="K28" s="494"/>
      <c r="L28" s="494"/>
      <c r="N28" s="121"/>
    </row>
    <row r="29" spans="1:26" s="121" customFormat="1" ht="18.75" customHeight="1" x14ac:dyDescent="0.25">
      <c r="A29" s="508" t="s">
        <v>431</v>
      </c>
      <c r="B29" s="508"/>
      <c r="C29" s="508"/>
      <c r="D29" s="457">
        <f>SUM(D19:D28)</f>
        <v>0</v>
      </c>
      <c r="E29" s="457">
        <f>SUM(E19:E28)</f>
        <v>0</v>
      </c>
      <c r="F29" s="171"/>
      <c r="G29" s="171"/>
      <c r="H29" s="172"/>
      <c r="I29" s="528"/>
      <c r="J29" s="528"/>
      <c r="K29" s="528"/>
      <c r="L29" s="528"/>
      <c r="M29" s="165"/>
      <c r="N29"/>
      <c r="P29"/>
      <c r="Y29" s="79"/>
      <c r="Z29" s="79"/>
    </row>
    <row r="30" spans="1:26" s="4" customFormat="1" ht="19.5" customHeight="1" x14ac:dyDescent="0.35">
      <c r="A30" s="534" t="s">
        <v>423</v>
      </c>
      <c r="B30" s="535"/>
      <c r="C30" s="535"/>
      <c r="D30" s="535"/>
      <c r="E30" s="535"/>
      <c r="F30" s="535"/>
      <c r="G30" s="535"/>
      <c r="H30" s="535"/>
      <c r="I30" s="535"/>
      <c r="J30" s="535"/>
      <c r="K30" s="535"/>
      <c r="L30" s="535"/>
      <c r="M30" s="112"/>
      <c r="Y30" s="218"/>
      <c r="Z30" s="218"/>
    </row>
    <row r="31" spans="1:26" s="206" customFormat="1" ht="19.5" customHeight="1" x14ac:dyDescent="0.35">
      <c r="A31" s="207" t="s">
        <v>574</v>
      </c>
      <c r="B31" s="526" t="s">
        <v>572</v>
      </c>
      <c r="C31" s="526"/>
      <c r="D31" s="526"/>
      <c r="E31" s="526" t="s">
        <v>573</v>
      </c>
      <c r="F31" s="526"/>
      <c r="G31" s="526"/>
      <c r="H31" s="526"/>
      <c r="I31" s="526"/>
      <c r="J31" s="526"/>
      <c r="K31" s="526"/>
      <c r="L31" s="526"/>
      <c r="M31" s="205"/>
      <c r="Y31" s="221"/>
      <c r="Z31" s="221"/>
    </row>
    <row r="32" spans="1:26" s="4" customFormat="1" ht="25.5" customHeight="1" x14ac:dyDescent="0.25">
      <c r="A32" s="125" t="s">
        <v>47</v>
      </c>
      <c r="B32" s="530" t="s">
        <v>883</v>
      </c>
      <c r="C32" s="531"/>
      <c r="D32" s="532"/>
      <c r="E32" s="527" t="s">
        <v>1300</v>
      </c>
      <c r="F32" s="527"/>
      <c r="G32" s="527"/>
      <c r="H32" s="527"/>
      <c r="I32" s="527"/>
      <c r="J32" s="527"/>
      <c r="K32" s="527"/>
      <c r="L32" s="527"/>
      <c r="M32" s="115" t="s">
        <v>418</v>
      </c>
      <c r="N32" s="215" t="s">
        <v>885</v>
      </c>
      <c r="Y32" s="218"/>
      <c r="Z32" s="218"/>
    </row>
    <row r="33" spans="1:26" s="4" customFormat="1" ht="25.5" customHeight="1" x14ac:dyDescent="0.25">
      <c r="A33" s="125" t="s">
        <v>47</v>
      </c>
      <c r="B33" s="530" t="s">
        <v>882</v>
      </c>
      <c r="C33" s="531"/>
      <c r="D33" s="532"/>
      <c r="E33" s="527" t="s">
        <v>884</v>
      </c>
      <c r="F33" s="527"/>
      <c r="G33" s="527"/>
      <c r="H33" s="527"/>
      <c r="I33" s="527"/>
      <c r="J33" s="527"/>
      <c r="K33" s="527"/>
      <c r="L33" s="527"/>
      <c r="M33" s="116" t="s">
        <v>419</v>
      </c>
      <c r="N33" s="215" t="s">
        <v>886</v>
      </c>
      <c r="Y33" s="218"/>
      <c r="Z33" s="218"/>
    </row>
    <row r="34" spans="1:26" s="4" customFormat="1" ht="34.5" customHeight="1" x14ac:dyDescent="0.25">
      <c r="A34" s="125" t="s">
        <v>47</v>
      </c>
      <c r="B34" s="533" t="s">
        <v>358</v>
      </c>
      <c r="C34" s="533"/>
      <c r="D34" s="533"/>
      <c r="E34" s="529" t="s">
        <v>567</v>
      </c>
      <c r="F34" s="529"/>
      <c r="G34" s="529"/>
      <c r="H34" s="529"/>
      <c r="I34" s="529"/>
      <c r="J34" s="529"/>
      <c r="K34" s="529"/>
      <c r="L34" s="529"/>
      <c r="M34" s="115" t="s">
        <v>52</v>
      </c>
      <c r="N34" s="215" t="s">
        <v>678</v>
      </c>
      <c r="Y34" s="218"/>
      <c r="Z34" s="218"/>
    </row>
    <row r="35" spans="1:26" s="4" customFormat="1" ht="46.5" customHeight="1" x14ac:dyDescent="0.25">
      <c r="A35" s="125" t="s">
        <v>47</v>
      </c>
      <c r="B35" s="530" t="s">
        <v>312</v>
      </c>
      <c r="C35" s="531"/>
      <c r="D35" s="532"/>
      <c r="E35" s="529" t="s">
        <v>749</v>
      </c>
      <c r="F35" s="529"/>
      <c r="G35" s="529"/>
      <c r="H35" s="529"/>
      <c r="I35" s="529"/>
      <c r="J35" s="529"/>
      <c r="K35" s="529"/>
      <c r="L35" s="529"/>
      <c r="M35" s="115" t="s">
        <v>421</v>
      </c>
      <c r="N35" s="215" t="s">
        <v>679</v>
      </c>
      <c r="Y35" s="218"/>
      <c r="Z35" s="218"/>
    </row>
    <row r="36" spans="1:26" s="4" customFormat="1" ht="25.5" customHeight="1" x14ac:dyDescent="0.25">
      <c r="A36" s="125" t="s">
        <v>47</v>
      </c>
      <c r="B36" s="530" t="s">
        <v>313</v>
      </c>
      <c r="C36" s="531"/>
      <c r="D36" s="532"/>
      <c r="E36" s="529" t="s">
        <v>750</v>
      </c>
      <c r="F36" s="529"/>
      <c r="G36" s="529"/>
      <c r="H36" s="529"/>
      <c r="I36" s="529"/>
      <c r="J36" s="529"/>
      <c r="K36" s="529"/>
      <c r="L36" s="529"/>
      <c r="M36" s="116" t="s">
        <v>420</v>
      </c>
      <c r="N36" s="215" t="s">
        <v>680</v>
      </c>
      <c r="Y36" s="218"/>
      <c r="Z36" s="218"/>
    </row>
    <row r="37" spans="1:26" s="4" customFormat="1" ht="25.5" customHeight="1" x14ac:dyDescent="0.25">
      <c r="A37" s="125" t="s">
        <v>47</v>
      </c>
      <c r="B37" s="530" t="s">
        <v>311</v>
      </c>
      <c r="C37" s="531"/>
      <c r="D37" s="532"/>
      <c r="E37" s="529" t="s">
        <v>568</v>
      </c>
      <c r="F37" s="529"/>
      <c r="G37" s="529"/>
      <c r="H37" s="529"/>
      <c r="I37" s="529"/>
      <c r="J37" s="529"/>
      <c r="K37" s="529"/>
      <c r="L37" s="529"/>
      <c r="M37" s="116" t="s">
        <v>30</v>
      </c>
      <c r="N37" s="215" t="s">
        <v>681</v>
      </c>
      <c r="Y37" s="218"/>
      <c r="Z37" s="218"/>
    </row>
    <row r="38" spans="1:26" s="4" customFormat="1" ht="25.5" customHeight="1" x14ac:dyDescent="0.25">
      <c r="A38" s="125" t="s">
        <v>47</v>
      </c>
      <c r="B38" s="530" t="s">
        <v>314</v>
      </c>
      <c r="C38" s="531"/>
      <c r="D38" s="532"/>
      <c r="E38" s="529" t="s">
        <v>413</v>
      </c>
      <c r="F38" s="529"/>
      <c r="G38" s="529"/>
      <c r="H38" s="529"/>
      <c r="I38" s="529"/>
      <c r="J38" s="529"/>
      <c r="K38" s="529"/>
      <c r="L38" s="529"/>
      <c r="M38" s="116" t="s">
        <v>422</v>
      </c>
      <c r="N38" s="215" t="s">
        <v>682</v>
      </c>
      <c r="Y38" s="218"/>
      <c r="Z38" s="218"/>
    </row>
    <row r="39" spans="1:26" s="4" customFormat="1" ht="25.5" customHeight="1" x14ac:dyDescent="0.25">
      <c r="A39" s="125" t="s">
        <v>47</v>
      </c>
      <c r="B39" s="530" t="s">
        <v>565</v>
      </c>
      <c r="C39" s="531"/>
      <c r="D39" s="532"/>
      <c r="E39" s="529" t="s">
        <v>566</v>
      </c>
      <c r="F39" s="529"/>
      <c r="G39" s="529"/>
      <c r="H39" s="529"/>
      <c r="I39" s="529"/>
      <c r="J39" s="529"/>
      <c r="K39" s="529"/>
      <c r="L39" s="529"/>
      <c r="M39" s="116" t="s">
        <v>629</v>
      </c>
      <c r="N39" s="215" t="s">
        <v>683</v>
      </c>
      <c r="Y39" s="218"/>
      <c r="Z39" s="218"/>
    </row>
    <row r="40" spans="1:26" s="4" customFormat="1" ht="25.5" customHeight="1" x14ac:dyDescent="0.25">
      <c r="A40" s="125" t="s">
        <v>47</v>
      </c>
      <c r="B40" s="530" t="s">
        <v>887</v>
      </c>
      <c r="C40" s="531"/>
      <c r="D40" s="532"/>
      <c r="E40" s="527" t="s">
        <v>890</v>
      </c>
      <c r="F40" s="527"/>
      <c r="G40" s="527"/>
      <c r="H40" s="527"/>
      <c r="I40" s="527"/>
      <c r="J40" s="527"/>
      <c r="K40" s="527"/>
      <c r="L40" s="527"/>
      <c r="M40" s="115" t="s">
        <v>863</v>
      </c>
      <c r="N40" s="215" t="s">
        <v>895</v>
      </c>
      <c r="Y40" s="218"/>
      <c r="Z40" s="218"/>
    </row>
    <row r="41" spans="1:26" s="4" customFormat="1" ht="34.5" customHeight="1" x14ac:dyDescent="0.25">
      <c r="A41" s="125" t="s">
        <v>47</v>
      </c>
      <c r="B41" s="533" t="s">
        <v>888</v>
      </c>
      <c r="C41" s="533"/>
      <c r="D41" s="533"/>
      <c r="E41" s="529" t="s">
        <v>891</v>
      </c>
      <c r="F41" s="529"/>
      <c r="G41" s="529"/>
      <c r="H41" s="529"/>
      <c r="I41" s="529"/>
      <c r="J41" s="529"/>
      <c r="K41" s="529"/>
      <c r="L41" s="529"/>
      <c r="M41" s="116" t="s">
        <v>893</v>
      </c>
      <c r="N41" s="215" t="s">
        <v>896</v>
      </c>
      <c r="Y41" s="218"/>
      <c r="Z41" s="218"/>
    </row>
    <row r="42" spans="1:26" s="4" customFormat="1" ht="25.5" customHeight="1" x14ac:dyDescent="0.25">
      <c r="A42" s="125" t="s">
        <v>47</v>
      </c>
      <c r="B42" s="530" t="s">
        <v>889</v>
      </c>
      <c r="C42" s="531"/>
      <c r="D42" s="532"/>
      <c r="E42" s="529" t="s">
        <v>892</v>
      </c>
      <c r="F42" s="529"/>
      <c r="G42" s="529"/>
      <c r="H42" s="529"/>
      <c r="I42" s="529"/>
      <c r="J42" s="529"/>
      <c r="K42" s="529"/>
      <c r="L42" s="529"/>
      <c r="M42" s="116" t="s">
        <v>894</v>
      </c>
      <c r="N42" s="211" t="s">
        <v>897</v>
      </c>
      <c r="Y42" s="218"/>
      <c r="Z42" s="218"/>
    </row>
    <row r="43" spans="1:26" ht="17.5" x14ac:dyDescent="0.25">
      <c r="A43" s="524" t="s">
        <v>20</v>
      </c>
      <c r="B43" s="525"/>
      <c r="C43" s="525"/>
      <c r="D43" s="525"/>
      <c r="E43" s="525"/>
      <c r="F43" s="525"/>
      <c r="G43" s="525"/>
      <c r="H43" s="525"/>
      <c r="I43" s="525"/>
      <c r="J43" s="525"/>
      <c r="K43" s="525"/>
      <c r="L43" s="525"/>
    </row>
    <row r="44" spans="1:26" ht="13" x14ac:dyDescent="0.25">
      <c r="A44" s="91" t="s">
        <v>51</v>
      </c>
      <c r="B44" s="520" t="s">
        <v>35</v>
      </c>
      <c r="C44" s="521"/>
      <c r="D44" s="521"/>
      <c r="E44" s="521"/>
      <c r="F44" s="521"/>
      <c r="G44" s="522"/>
      <c r="H44" s="520" t="s">
        <v>25</v>
      </c>
      <c r="I44" s="521"/>
      <c r="J44" s="521"/>
      <c r="K44" s="521"/>
      <c r="L44" s="522"/>
    </row>
    <row r="46" spans="1:26" ht="17.5" x14ac:dyDescent="0.25">
      <c r="A46" s="523" t="s">
        <v>21</v>
      </c>
      <c r="B46" s="516"/>
      <c r="C46" s="516"/>
      <c r="D46" s="516"/>
      <c r="E46" s="516"/>
      <c r="F46" s="516"/>
      <c r="G46" s="516"/>
      <c r="H46" s="516"/>
      <c r="I46" s="516"/>
      <c r="J46" s="516"/>
      <c r="K46" s="516"/>
      <c r="L46" s="516"/>
    </row>
    <row r="47" spans="1:26" ht="13" x14ac:dyDescent="0.25">
      <c r="A47" s="358" t="s">
        <v>51</v>
      </c>
      <c r="B47" s="517" t="s">
        <v>35</v>
      </c>
      <c r="C47" s="518"/>
      <c r="D47" s="518"/>
      <c r="E47" s="518"/>
      <c r="F47" s="518"/>
      <c r="G47" s="519"/>
      <c r="H47" s="517" t="s">
        <v>25</v>
      </c>
      <c r="I47" s="518"/>
      <c r="J47" s="518"/>
      <c r="K47" s="518"/>
      <c r="L47" s="519"/>
    </row>
    <row r="49" spans="1:12" ht="17.5" x14ac:dyDescent="0.25">
      <c r="A49" s="515" t="s">
        <v>258</v>
      </c>
      <c r="B49" s="516"/>
      <c r="C49" s="516"/>
      <c r="D49" s="516"/>
      <c r="E49" s="516"/>
      <c r="F49" s="516"/>
      <c r="G49" s="516"/>
      <c r="H49" s="516"/>
      <c r="I49" s="516"/>
      <c r="J49" s="516"/>
      <c r="K49" s="516"/>
      <c r="L49" s="516"/>
    </row>
    <row r="50" spans="1:12" ht="13" x14ac:dyDescent="0.25">
      <c r="A50" s="358" t="s">
        <v>51</v>
      </c>
      <c r="B50" s="517" t="s">
        <v>35</v>
      </c>
      <c r="C50" s="518"/>
      <c r="D50" s="518"/>
      <c r="E50" s="518"/>
      <c r="F50" s="518"/>
      <c r="G50" s="519"/>
      <c r="H50" s="517" t="s">
        <v>25</v>
      </c>
      <c r="I50" s="518"/>
      <c r="J50" s="518"/>
      <c r="K50" s="518"/>
      <c r="L50" s="519"/>
    </row>
  </sheetData>
  <sheetProtection formatColumns="0" formatRows="0"/>
  <dataConsolidate/>
  <mergeCells count="90">
    <mergeCell ref="A8:C8"/>
    <mergeCell ref="D8:L8"/>
    <mergeCell ref="G26:L26"/>
    <mergeCell ref="A1:L1"/>
    <mergeCell ref="A4:L4"/>
    <mergeCell ref="A7:C7"/>
    <mergeCell ref="D7:L7"/>
    <mergeCell ref="F3:J3"/>
    <mergeCell ref="C3:E3"/>
    <mergeCell ref="H5:I5"/>
    <mergeCell ref="H6:I6"/>
    <mergeCell ref="F9:L9"/>
    <mergeCell ref="A9:C9"/>
    <mergeCell ref="D9:E9"/>
    <mergeCell ref="A10:L10"/>
    <mergeCell ref="G22:L22"/>
    <mergeCell ref="E34:L34"/>
    <mergeCell ref="B34:D34"/>
    <mergeCell ref="E39:L39"/>
    <mergeCell ref="B39:D39"/>
    <mergeCell ref="B38:D38"/>
    <mergeCell ref="B37:D37"/>
    <mergeCell ref="E35:L35"/>
    <mergeCell ref="E36:L36"/>
    <mergeCell ref="E37:L37"/>
    <mergeCell ref="B35:D35"/>
    <mergeCell ref="B36:D36"/>
    <mergeCell ref="A43:L43"/>
    <mergeCell ref="E31:L31"/>
    <mergeCell ref="B31:D31"/>
    <mergeCell ref="E32:L32"/>
    <mergeCell ref="I29:L29"/>
    <mergeCell ref="E42:L42"/>
    <mergeCell ref="E38:L38"/>
    <mergeCell ref="B33:D33"/>
    <mergeCell ref="E33:L33"/>
    <mergeCell ref="B40:D40"/>
    <mergeCell ref="E40:L40"/>
    <mergeCell ref="B41:D41"/>
    <mergeCell ref="E41:L41"/>
    <mergeCell ref="A30:L30"/>
    <mergeCell ref="B32:D32"/>
    <mergeCell ref="B42:D42"/>
    <mergeCell ref="A49:L49"/>
    <mergeCell ref="B50:G50"/>
    <mergeCell ref="H50:L50"/>
    <mergeCell ref="B44:G44"/>
    <mergeCell ref="H44:L44"/>
    <mergeCell ref="B47:G47"/>
    <mergeCell ref="H47:L47"/>
    <mergeCell ref="A46:L46"/>
    <mergeCell ref="G27:L27"/>
    <mergeCell ref="G28:L28"/>
    <mergeCell ref="A29:C29"/>
    <mergeCell ref="A14:B14"/>
    <mergeCell ref="B17:C18"/>
    <mergeCell ref="D17:E17"/>
    <mergeCell ref="F17:F18"/>
    <mergeCell ref="G24:L24"/>
    <mergeCell ref="B22:C22"/>
    <mergeCell ref="B27:C27"/>
    <mergeCell ref="B23:C23"/>
    <mergeCell ref="B24:C24"/>
    <mergeCell ref="B28:C28"/>
    <mergeCell ref="B25:C25"/>
    <mergeCell ref="G23:L23"/>
    <mergeCell ref="A11:B11"/>
    <mergeCell ref="G20:L20"/>
    <mergeCell ref="D15:F15"/>
    <mergeCell ref="G12:J12"/>
    <mergeCell ref="G13:J13"/>
    <mergeCell ref="G14:J14"/>
    <mergeCell ref="G15:J15"/>
    <mergeCell ref="D11:F11"/>
    <mergeCell ref="G11:J11"/>
    <mergeCell ref="A15:B15"/>
    <mergeCell ref="A17:A18"/>
    <mergeCell ref="A13:B13"/>
    <mergeCell ref="A16:L16"/>
    <mergeCell ref="B20:C20"/>
    <mergeCell ref="B19:C19"/>
    <mergeCell ref="D12:F12"/>
    <mergeCell ref="D13:F13"/>
    <mergeCell ref="D14:F14"/>
    <mergeCell ref="A12:B12"/>
    <mergeCell ref="G25:L25"/>
    <mergeCell ref="G19:L19"/>
    <mergeCell ref="G17:L18"/>
    <mergeCell ref="G21:L21"/>
    <mergeCell ref="B21:C21"/>
  </mergeCells>
  <phoneticPr fontId="2" type="noConversion"/>
  <conditionalFormatting sqref="F27:F28 F19:F25">
    <cfRule type="expression" dxfId="455" priority="20" stopIfTrue="1">
      <formula>EXACT(F19,"G")</formula>
    </cfRule>
    <cfRule type="expression" dxfId="454" priority="21" stopIfTrue="1">
      <formula>EXACT(F19,"Y")</formula>
    </cfRule>
    <cfRule type="expression" dxfId="453" priority="22" stopIfTrue="1">
      <formula>EXACT(F19,"R")</formula>
    </cfRule>
    <cfRule type="expression" dxfId="452" priority="23" stopIfTrue="1">
      <formula>EXACT(F19,"N/A")</formula>
    </cfRule>
    <cfRule type="expression" dxfId="451" priority="24" stopIfTrue="1">
      <formula>EXACT(F19,"WVR")</formula>
    </cfRule>
  </conditionalFormatting>
  <conditionalFormatting sqref="G6:H6">
    <cfRule type="cellIs" dxfId="450" priority="25" stopIfTrue="1" operator="equal">
      <formula>"WVR"</formula>
    </cfRule>
    <cfRule type="cellIs" dxfId="449" priority="26" stopIfTrue="1" operator="equal">
      <formula>"N/A"</formula>
    </cfRule>
    <cfRule type="cellIs" dxfId="448" priority="27" stopIfTrue="1" operator="equal">
      <formula>"R"</formula>
    </cfRule>
    <cfRule type="cellIs" dxfId="447" priority="28" stopIfTrue="1" operator="equal">
      <formula>"G"</formula>
    </cfRule>
    <cfRule type="cellIs" dxfId="446" priority="29" stopIfTrue="1" operator="equal">
      <formula>"Y"</formula>
    </cfRule>
  </conditionalFormatting>
  <conditionalFormatting sqref="C12:C15">
    <cfRule type="cellIs" dxfId="445" priority="14" operator="equal">
      <formula>"High"</formula>
    </cfRule>
    <cfRule type="cellIs" dxfId="444" priority="15" operator="equal">
      <formula>"Medium"</formula>
    </cfRule>
    <cfRule type="cellIs" dxfId="443" priority="16" operator="equal">
      <formula>"Low"</formula>
    </cfRule>
  </conditionalFormatting>
  <conditionalFormatting sqref="F26">
    <cfRule type="expression" dxfId="442" priority="1" stopIfTrue="1">
      <formula>EXACT(F26,"G")</formula>
    </cfRule>
    <cfRule type="expression" dxfId="441" priority="2" stopIfTrue="1">
      <formula>EXACT(F26,"Y")</formula>
    </cfRule>
    <cfRule type="expression" dxfId="440" priority="3" stopIfTrue="1">
      <formula>EXACT(F26,"R")</formula>
    </cfRule>
    <cfRule type="expression" dxfId="439" priority="4" stopIfTrue="1">
      <formula>EXACT(F26,"N/A")</formula>
    </cfRule>
    <cfRule type="expression" dxfId="438" priority="5" stopIfTrue="1">
      <formula>EXACT(F26,"WVR")</formula>
    </cfRule>
  </conditionalFormatting>
  <dataValidations count="4">
    <dataValidation type="date" allowBlank="1" showInputMessage="1" showErrorMessage="1" sqref="A6">
      <formula1>39814</formula1>
      <formula2>47484</formula2>
    </dataValidation>
    <dataValidation type="custom" allowBlank="1" showInputMessage="1" showErrorMessage="1" errorTitle="Asset Version" error="Version Number must be in the form major.minor.revision_x000a_(all numeric)" sqref="B6">
      <formula1>NOT(ISERR(VALUE(SUBSTITUTE(B6,".",""))))</formula1>
    </dataValidation>
    <dataValidation type="whole" operator="greaterThanOrEqual" allowBlank="1" showInputMessage="1" showErrorMessage="1" errorTitle="Employee ID" error="Please enter a valid Employee ID for the Enterprise Architect" sqref="E6">
      <formula1>0</formula1>
    </dataValidation>
    <dataValidation type="whole" operator="greaterThanOrEqual" allowBlank="1" showInputMessage="1" showErrorMessage="1" errorTitle="Employee ID" error="Please enter a valid Employee ID for the Domain Architect" sqref="C6">
      <formula1>0</formula1>
    </dataValidation>
  </dataValidations>
  <pageMargins left="0.25" right="0.25" top="0.75" bottom="0.75" header="0.3" footer="0.3"/>
  <pageSetup scale="79" fitToHeight="100" orientation="landscape" r:id="rId1"/>
  <headerFooter alignWithMargins="0">
    <oddHeader>&amp;L&amp;F&amp;C&amp;A&amp;R&amp;D</oddHeader>
    <oddFooter>&amp;C&amp;P of &amp;N</oddFooter>
  </headerFooter>
  <legacyDrawing r:id="rId2"/>
  <extLst>
    <ext xmlns:x14="http://schemas.microsoft.com/office/spreadsheetml/2009/9/main" uri="{78C0D931-6437-407d-A8EE-F0AAD7539E65}">
      <x14:conditionalFormattings>
        <x14:conditionalFormatting xmlns:xm="http://schemas.microsoft.com/office/excel/2006/main">
          <x14:cfRule type="cellIs" priority="738" operator="equal" id="{A7835A6A-A5B5-463A-A754-6DBFD27D455E}">
            <xm:f>Instructions!#REF!</xm:f>
            <x14:dxf>
              <fill>
                <patternFill>
                  <fgColor theme="0"/>
                  <bgColor theme="7" tint="0.39994506668294322"/>
                </patternFill>
              </fill>
            </x14:dxf>
          </x14:cfRule>
          <x14:cfRule type="cellIs" priority="739" operator="equal" id="{31D17115-6287-4428-8A23-59B5BEFCE39F}">
            <xm:f>Instructions!#REF!</xm:f>
            <x14:dxf>
              <fill>
                <patternFill>
                  <bgColor theme="7" tint="0.59996337778862885"/>
                </patternFill>
              </fill>
            </x14:dxf>
          </x14:cfRule>
          <x14:cfRule type="cellIs" priority="740" operator="equal" id="{2687E5E0-1FD8-4F5F-860E-F9A8E577FA04}">
            <xm:f>Instructions!#REF!</xm:f>
            <x14:dxf>
              <fill>
                <patternFill>
                  <bgColor theme="7" tint="0.79998168889431442"/>
                </patternFill>
              </fill>
            </x14:dxf>
          </x14:cfRule>
          <x14:cfRule type="cellIs" priority="741" operator="equal" id="{AFAD6923-0C8A-40FA-834A-91A4034F9C6E}">
            <xm:f>Instructions!#REF!</xm:f>
            <x14:dxf>
              <fill>
                <patternFill>
                  <bgColor theme="0" tint="-4.9989318521683403E-2"/>
                </patternFill>
              </fill>
            </x14:dxf>
          </x14:cfRule>
          <xm:sqref>D9:E9</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14:formula1>
            <xm:f>Instructions!$B$10:$B$11</xm:f>
          </x14:formula1>
          <xm:sqref>L3</xm:sqref>
        </x14:dataValidation>
        <x14:dataValidation type="list" allowBlank="1" showInputMessage="1" showErrorMessage="1" prompt="Roll up these principles:_x000a_10. Global">
          <x14:formula1>
            <xm:f>Instructions!$B$56:$B$58</xm:f>
          </x14:formula1>
          <xm:sqref>C15</xm:sqref>
        </x14:dataValidation>
        <x14:dataValidation type="list" allowBlank="1" showInputMessage="1" showErrorMessage="1" prompt="Roll up these principles:_x000a_1. Secure_x000a_2. Compliant">
          <x14:formula1>
            <xm:f>Instructions!$B$56:$B$58</xm:f>
          </x14:formula1>
          <xm:sqref>C12</xm:sqref>
        </x14:dataValidation>
        <x14:dataValidation type="list" allowBlank="1" showInputMessage="1" showErrorMessage="1" prompt="Roll up these principles:_x000a_3. Reliable_x000a_4. Scalable_x000a_5. Manageable_x000a_">
          <x14:formula1>
            <xm:f>Instructions!$B$56:$B$58</xm:f>
          </x14:formula1>
          <xm:sqref>C13</xm:sqref>
        </x14:dataValidation>
        <x14:dataValidation type="list" allowBlank="1" showInputMessage="1" showErrorMessage="1" prompt="Roll up these principles:_x000a_6. Simple_x000a_7. Modular_x000a_8. Maintainable_x000a_9. Managed Data">
          <x14:formula1>
            <xm:f>Instructions!$B$56:$B$58</xm:f>
          </x14:formula1>
          <xm:sqref>C14</xm:sqref>
        </x14:dataValidation>
        <x14:dataValidation type="list" allowBlank="1" showInputMessage="1" showErrorMessage="1">
          <x14:formula1>
            <xm:f>Instructions!$B$13:$B$16</xm:f>
          </x14:formula1>
          <xm:sqref>D9:E9</xm:sqref>
        </x14:dataValidation>
        <x14:dataValidation type="list" allowBlank="1" showInputMessage="1" showErrorMessage="1">
          <x14:formula1>
            <xm:f>Instructions!$B$84:$B$85</xm:f>
          </x14:formula1>
          <xm:sqref>A32:A42</xm:sqref>
        </x14:dataValidation>
        <x14:dataValidation type="list" allowBlank="1" showInputMessage="1" showErrorMessage="1">
          <x14:formula1>
            <xm:f>Instructions!$B$78:$B$80</xm:f>
          </x14:formula1>
          <xm:sqref>G6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fitToPage="1"/>
  </sheetPr>
  <dimension ref="A1:N61"/>
  <sheetViews>
    <sheetView workbookViewId="0">
      <pane ySplit="1" topLeftCell="A2" activePane="bottomLeft" state="frozenSplit"/>
      <selection pane="bottomLeft" activeCell="B1" sqref="B1:E1"/>
    </sheetView>
  </sheetViews>
  <sheetFormatPr defaultColWidth="9.1796875" defaultRowHeight="15.5" x14ac:dyDescent="0.25"/>
  <cols>
    <col min="1" max="1" width="8.26953125" style="258" bestFit="1" customWidth="1"/>
    <col min="2" max="2" width="9.26953125" style="262" customWidth="1"/>
    <col min="3" max="3" width="50.453125" style="263" customWidth="1"/>
    <col min="4" max="4" width="6.7265625" style="71" customWidth="1"/>
    <col min="5" max="5" width="83.26953125" style="264" customWidth="1"/>
    <col min="6" max="6" width="30.26953125" style="450" customWidth="1"/>
    <col min="7" max="7" width="9.1796875" style="258"/>
    <col min="8" max="8" width="11.453125" style="258" bestFit="1" customWidth="1"/>
    <col min="9" max="9" width="12.7265625" style="258" bestFit="1" customWidth="1"/>
    <col min="10" max="10" width="43.54296875" style="258" bestFit="1" customWidth="1"/>
    <col min="11" max="11" width="9.1796875" style="258"/>
    <col min="12" max="12" width="8.54296875" style="258" bestFit="1" customWidth="1"/>
    <col min="13" max="13" width="12.7265625" style="258" bestFit="1" customWidth="1"/>
    <col min="14" max="14" width="203.7265625" style="258" bestFit="1" customWidth="1"/>
    <col min="15" max="16384" width="9.1796875" style="258"/>
  </cols>
  <sheetData>
    <row r="1" spans="1:14" s="175" customFormat="1" ht="18" thickTop="1" x14ac:dyDescent="0.25">
      <c r="A1" s="375"/>
      <c r="B1" s="563" t="s">
        <v>1302</v>
      </c>
      <c r="C1" s="564"/>
      <c r="D1" s="564"/>
      <c r="E1" s="565"/>
      <c r="F1" s="442"/>
      <c r="G1" s="375"/>
      <c r="H1" s="375"/>
      <c r="I1" s="375"/>
      <c r="J1" s="375"/>
    </row>
    <row r="2" spans="1:14" x14ac:dyDescent="0.25">
      <c r="A2" s="376"/>
      <c r="B2" s="377"/>
      <c r="C2" s="378"/>
      <c r="D2" s="379" t="s">
        <v>33</v>
      </c>
      <c r="E2" s="380"/>
      <c r="F2" s="451"/>
      <c r="G2" s="379" t="s">
        <v>1066</v>
      </c>
      <c r="H2" s="379" t="s">
        <v>967</v>
      </c>
      <c r="I2" s="379" t="s">
        <v>968</v>
      </c>
      <c r="J2" s="379" t="s">
        <v>1073</v>
      </c>
      <c r="K2" s="379" t="s">
        <v>692</v>
      </c>
      <c r="L2" s="379" t="s">
        <v>967</v>
      </c>
      <c r="M2" s="379" t="s">
        <v>968</v>
      </c>
      <c r="N2" s="452" t="s">
        <v>1126</v>
      </c>
    </row>
    <row r="3" spans="1:14" ht="24.75" customHeight="1" x14ac:dyDescent="0.25">
      <c r="A3" s="376" t="str">
        <f>'1. Secure'!A1</f>
        <v>P:6</v>
      </c>
      <c r="B3" s="260">
        <f>'1. Secure'!C1</f>
        <v>1</v>
      </c>
      <c r="C3" s="382" t="str">
        <f>'1. Secure'!D1</f>
        <v>Secure</v>
      </c>
      <c r="D3" s="383">
        <f>'1. Secure'!E2</f>
        <v>0</v>
      </c>
      <c r="E3" s="384" t="str">
        <f>'1. Secure'!F2</f>
        <v>EA Summary Comments</v>
      </c>
      <c r="F3" s="443"/>
      <c r="G3" s="214" t="str">
        <f t="shared" ref="G3:G34" si="0">IF(H3="Catastrophic","Sev1",IF(H3="High",IF(I3="High","Sev1",IF(I3="Medium","Sev2",IF(I3="Low","Sev3",""))),IF(H3="Medium",IF(I3="High","Sev2",IF(I3="Medium","Sev3",IF(I3="Low","Sev4"))),IF(H3="Low",IF(I3="High","Sev3",IF(I3="Medium","Sev4",IF(I3="Low","Guidance",""))),""))))</f>
        <v/>
      </c>
      <c r="H3" s="214"/>
      <c r="I3" s="214"/>
      <c r="J3" s="376"/>
      <c r="M3" s="258">
        <f t="shared" ref="M3:M34" si="1">IF(I3="High",1,IF(I3="Medium",2,3))</f>
        <v>3</v>
      </c>
    </row>
    <row r="4" spans="1:14" ht="24.75" customHeight="1" x14ac:dyDescent="0.25">
      <c r="A4" s="376" t="str">
        <f>'1. Secure'!A5</f>
        <v>GR:30</v>
      </c>
      <c r="B4" s="261" t="str">
        <f>'1. Secure'!C5</f>
        <v>1.1</v>
      </c>
      <c r="C4" s="390" t="str">
        <f>'1. Secure'!D5</f>
        <v>End user Authentication secrets must be protected.</v>
      </c>
      <c r="D4" s="383">
        <f>'1. Secure'!E6</f>
        <v>0</v>
      </c>
      <c r="E4" s="391" t="str">
        <f>'1. Secure'!F6</f>
        <v>EA Summary Comments</v>
      </c>
      <c r="F4" s="447"/>
      <c r="G4" s="214" t="str">
        <f t="shared" si="0"/>
        <v>Sev1</v>
      </c>
      <c r="H4" s="214" t="s">
        <v>972</v>
      </c>
      <c r="I4" s="214" t="s">
        <v>402</v>
      </c>
      <c r="J4" s="376">
        <v>2</v>
      </c>
      <c r="K4" s="258" t="str">
        <f t="shared" ref="K4:K22" si="2">MID(A4,FIND(":",A4)+1,4)</f>
        <v>30</v>
      </c>
      <c r="L4" s="258">
        <f t="shared" ref="L4:L22" si="3">IF(H4="Catastrophic",1,IF(H4="High",2,IF(H4="Medium",3,4)))</f>
        <v>1</v>
      </c>
      <c r="M4" s="258">
        <f t="shared" si="1"/>
        <v>1</v>
      </c>
      <c r="N4" s="258" t="str">
        <f t="shared" ref="N4:N22" si="4">"INSERT INTO [dbo].[GoldenRuleStreamliningAttributes]
           ([ID], [Impact]
           ,[Likelihood]
           ,[Difficulty]
           ,[ModifiedTime]
           ,[ModifiedByUserId])
     VALUES
           (" &amp; K4 &amp;","&amp;L4&amp;","&amp;M4&amp;","&amp;J4&amp;",getdate(),CURRENT_USER)"</f>
        <v>INSERT INTO [dbo].[GoldenRuleStreamliningAttributes]
           ([ID], [Impact]
           ,[Likelihood]
           ,[Difficulty]
           ,[ModifiedTime]
           ,[ModifiedByUserId])
     VALUES
           (30,1,1,2,getdate(),CURRENT_USER)</v>
      </c>
    </row>
    <row r="5" spans="1:14" ht="24.75" customHeight="1" x14ac:dyDescent="0.25">
      <c r="A5" s="376" t="str">
        <f>'1. Secure'!A11</f>
        <v>GR:1154</v>
      </c>
      <c r="B5" s="261" t="str">
        <f>'1. Secure'!C11</f>
        <v>1.2</v>
      </c>
      <c r="C5" s="390" t="str">
        <f>'1. Secure'!D11</f>
        <v>Customer accounts must be difficult to attack.</v>
      </c>
      <c r="D5" s="383">
        <f>'1. Secure'!E12</f>
        <v>0</v>
      </c>
      <c r="E5" s="391" t="str">
        <f>'1. Secure'!F12</f>
        <v>EA Summary Comments</v>
      </c>
      <c r="F5" s="447"/>
      <c r="G5" s="214" t="str">
        <f t="shared" si="0"/>
        <v>Sev1</v>
      </c>
      <c r="H5" s="214" t="s">
        <v>972</v>
      </c>
      <c r="I5" s="214" t="s">
        <v>402</v>
      </c>
      <c r="J5" s="376">
        <v>4</v>
      </c>
      <c r="K5" s="258" t="str">
        <f t="shared" si="2"/>
        <v>1154</v>
      </c>
      <c r="L5" s="258">
        <f t="shared" si="3"/>
        <v>1</v>
      </c>
      <c r="M5" s="258">
        <f t="shared" si="1"/>
        <v>1</v>
      </c>
      <c r="N5" s="258" t="str">
        <f t="shared" si="4"/>
        <v>INSERT INTO [dbo].[GoldenRuleStreamliningAttributes]
           ([ID], [Impact]
           ,[Likelihood]
           ,[Difficulty]
           ,[ModifiedTime]
           ,[ModifiedByUserId])
     VALUES
           (1154,1,1,4,getdate(),CURRENT_USER)</v>
      </c>
    </row>
    <row r="6" spans="1:14" ht="24.75" customHeight="1" x14ac:dyDescent="0.25">
      <c r="A6" s="376" t="str">
        <f>'1. Secure'!A15</f>
        <v>GR:1155</v>
      </c>
      <c r="B6" s="261" t="str">
        <f>'1. Secure'!C15</f>
        <v>1.3</v>
      </c>
      <c r="C6" s="390" t="str">
        <f>'1. Secure'!D15</f>
        <v>Web traffic must be kept private.</v>
      </c>
      <c r="D6" s="383">
        <f>'1. Secure'!E16</f>
        <v>0</v>
      </c>
      <c r="E6" s="391" t="str">
        <f>'1. Secure'!F16</f>
        <v>EA Summary Comments</v>
      </c>
      <c r="F6" s="447"/>
      <c r="G6" s="214" t="str">
        <f t="shared" si="0"/>
        <v>Sev2</v>
      </c>
      <c r="H6" s="214" t="s">
        <v>402</v>
      </c>
      <c r="I6" s="214" t="s">
        <v>401</v>
      </c>
      <c r="J6" s="376">
        <v>1</v>
      </c>
      <c r="K6" s="258" t="str">
        <f t="shared" si="2"/>
        <v>1155</v>
      </c>
      <c r="L6" s="258">
        <f t="shared" si="3"/>
        <v>2</v>
      </c>
      <c r="M6" s="258">
        <f t="shared" si="1"/>
        <v>2</v>
      </c>
      <c r="N6" s="258" t="str">
        <f t="shared" si="4"/>
        <v>INSERT INTO [dbo].[GoldenRuleStreamliningAttributes]
           ([ID], [Impact]
           ,[Likelihood]
           ,[Difficulty]
           ,[ModifiedTime]
           ,[ModifiedByUserId])
     VALUES
           (1155,2,2,1,getdate(),CURRENT_USER)</v>
      </c>
    </row>
    <row r="7" spans="1:14" ht="24.75" customHeight="1" x14ac:dyDescent="0.25">
      <c r="A7" s="376" t="str">
        <f>'1. Secure'!A18</f>
        <v>GR:32</v>
      </c>
      <c r="B7" s="261" t="str">
        <f>'1. Secure'!C18</f>
        <v>1.4</v>
      </c>
      <c r="C7" s="390" t="str">
        <f>'1. Secure'!D18</f>
        <v>Inputs from untrusted sources must be sanitized before use.</v>
      </c>
      <c r="D7" s="383">
        <f>'1. Secure'!E19</f>
        <v>0</v>
      </c>
      <c r="E7" s="391" t="str">
        <f>'1. Secure'!F19</f>
        <v>EA Summary Comments</v>
      </c>
      <c r="F7" s="447"/>
      <c r="G7" s="214" t="str">
        <f t="shared" si="0"/>
        <v>Sev1</v>
      </c>
      <c r="H7" s="214" t="s">
        <v>972</v>
      </c>
      <c r="I7" s="214" t="s">
        <v>402</v>
      </c>
      <c r="J7" s="376">
        <v>5</v>
      </c>
      <c r="K7" s="258" t="str">
        <f t="shared" si="2"/>
        <v>32</v>
      </c>
      <c r="L7" s="258">
        <f t="shared" si="3"/>
        <v>1</v>
      </c>
      <c r="M7" s="258">
        <f t="shared" si="1"/>
        <v>1</v>
      </c>
      <c r="N7" s="258" t="str">
        <f t="shared" si="4"/>
        <v>INSERT INTO [dbo].[GoldenRuleStreamliningAttributes]
           ([ID], [Impact]
           ,[Likelihood]
           ,[Difficulty]
           ,[ModifiedTime]
           ,[ModifiedByUserId])
     VALUES
           (32,1,1,5,getdate(),CURRENT_USER)</v>
      </c>
    </row>
    <row r="8" spans="1:14" ht="24.75" customHeight="1" x14ac:dyDescent="0.25">
      <c r="A8" s="376" t="str">
        <f>'1. Secure'!A21</f>
        <v>GR:33</v>
      </c>
      <c r="B8" s="259" t="str">
        <f>'1. Secure'!C21</f>
        <v>1.5</v>
      </c>
      <c r="C8" s="390" t="str">
        <f>'1. Secure'!D21</f>
        <v>Data must not become code.</v>
      </c>
      <c r="D8" s="383">
        <f>'1. Secure'!E22</f>
        <v>0</v>
      </c>
      <c r="E8" s="391" t="str">
        <f>'1. Secure'!F22</f>
        <v>EA Summary Comments</v>
      </c>
      <c r="F8" s="447"/>
      <c r="G8" s="214" t="str">
        <f t="shared" si="0"/>
        <v>Sev1</v>
      </c>
      <c r="H8" s="214" t="s">
        <v>972</v>
      </c>
      <c r="I8" s="214" t="s">
        <v>402</v>
      </c>
      <c r="J8" s="376">
        <v>4</v>
      </c>
      <c r="K8" s="258" t="str">
        <f t="shared" si="2"/>
        <v>33</v>
      </c>
      <c r="L8" s="258">
        <f t="shared" si="3"/>
        <v>1</v>
      </c>
      <c r="M8" s="258">
        <f t="shared" si="1"/>
        <v>1</v>
      </c>
      <c r="N8" s="258" t="str">
        <f t="shared" si="4"/>
        <v>INSERT INTO [dbo].[GoldenRuleStreamliningAttributes]
           ([ID], [Impact]
           ,[Likelihood]
           ,[Difficulty]
           ,[ModifiedTime]
           ,[ModifiedByUserId])
     VALUES
           (33,1,1,4,getdate(),CURRENT_USER)</v>
      </c>
    </row>
    <row r="9" spans="1:14" ht="24.75" customHeight="1" x14ac:dyDescent="0.25">
      <c r="A9" s="376" t="str">
        <f>'1. Secure'!A25</f>
        <v>GR:34</v>
      </c>
      <c r="B9" s="259" t="str">
        <f>'1. Secure'!C25</f>
        <v>1.6</v>
      </c>
      <c r="C9" s="390" t="str">
        <f>'1. Secure'!D25</f>
        <v>Transactions involving sensitive data must be auditable.</v>
      </c>
      <c r="D9" s="383">
        <f>'1. Secure'!E26</f>
        <v>0</v>
      </c>
      <c r="E9" s="391" t="str">
        <f>'1. Secure'!F26</f>
        <v>EA Summary Comments</v>
      </c>
      <c r="F9" s="447"/>
      <c r="G9" s="214" t="str">
        <f t="shared" si="0"/>
        <v>Sev1</v>
      </c>
      <c r="H9" s="214" t="s">
        <v>402</v>
      </c>
      <c r="I9" s="214" t="s">
        <v>402</v>
      </c>
      <c r="J9" s="376">
        <v>4</v>
      </c>
      <c r="K9" s="258" t="str">
        <f t="shared" si="2"/>
        <v>34</v>
      </c>
      <c r="L9" s="258">
        <f t="shared" si="3"/>
        <v>2</v>
      </c>
      <c r="M9" s="258">
        <f t="shared" si="1"/>
        <v>1</v>
      </c>
      <c r="N9" s="258" t="str">
        <f t="shared" si="4"/>
        <v>INSERT INTO [dbo].[GoldenRuleStreamliningAttributes]
           ([ID], [Impact]
           ,[Likelihood]
           ,[Difficulty]
           ,[ModifiedTime]
           ,[ModifiedByUserId])
     VALUES
           (34,2,1,4,getdate(),CURRENT_USER)</v>
      </c>
    </row>
    <row r="10" spans="1:14" ht="24.75" customHeight="1" x14ac:dyDescent="0.25">
      <c r="A10" s="376" t="str">
        <f>'1. Secure'!A28</f>
        <v>GR:35</v>
      </c>
      <c r="B10" s="259" t="str">
        <f>'1. Secure'!C28</f>
        <v>1.7</v>
      </c>
      <c r="C10" s="390" t="str">
        <f>'1. Secure'!D28</f>
        <v>Credit card payment account numbers must not be manipulated.</v>
      </c>
      <c r="D10" s="383">
        <f>'1. Secure'!E29</f>
        <v>0</v>
      </c>
      <c r="E10" s="391" t="str">
        <f>'1. Secure'!F29</f>
        <v>EA Summary Comments</v>
      </c>
      <c r="F10" s="447"/>
      <c r="G10" s="214" t="str">
        <f t="shared" si="0"/>
        <v>Sev1</v>
      </c>
      <c r="H10" s="214" t="s">
        <v>402</v>
      </c>
      <c r="I10" s="214" t="s">
        <v>402</v>
      </c>
      <c r="J10" s="376">
        <v>1</v>
      </c>
      <c r="K10" s="258" t="str">
        <f t="shared" si="2"/>
        <v>35</v>
      </c>
      <c r="L10" s="258">
        <f t="shared" si="3"/>
        <v>2</v>
      </c>
      <c r="M10" s="258">
        <f t="shared" si="1"/>
        <v>1</v>
      </c>
      <c r="N10" s="258" t="str">
        <f t="shared" si="4"/>
        <v>INSERT INTO [dbo].[GoldenRuleStreamliningAttributes]
           ([ID], [Impact]
           ,[Likelihood]
           ,[Difficulty]
           ,[ModifiedTime]
           ,[ModifiedByUserId])
     VALUES
           (35,2,1,1,getdate(),CURRENT_USER)</v>
      </c>
    </row>
    <row r="11" spans="1:14" ht="24.75" customHeight="1" x14ac:dyDescent="0.25">
      <c r="A11" s="376" t="str">
        <f>'1. Secure'!A32</f>
        <v>GR:36</v>
      </c>
      <c r="B11" s="259" t="str">
        <f>'1. Secure'!C32</f>
        <v>1.8</v>
      </c>
      <c r="C11" s="390" t="str">
        <f>'1. Secure'!D32</f>
        <v>Highly regulated data (SPII) must be protected.</v>
      </c>
      <c r="D11" s="383">
        <f>'1. Secure'!E33</f>
        <v>0</v>
      </c>
      <c r="E11" s="391" t="str">
        <f>'1. Secure'!F33</f>
        <v>EA Summary Comments</v>
      </c>
      <c r="F11" s="447"/>
      <c r="G11" s="214" t="str">
        <f t="shared" si="0"/>
        <v>Sev1</v>
      </c>
      <c r="H11" s="214" t="s">
        <v>402</v>
      </c>
      <c r="I11" s="214" t="s">
        <v>402</v>
      </c>
      <c r="J11" s="376">
        <v>3</v>
      </c>
      <c r="K11" s="258" t="str">
        <f t="shared" si="2"/>
        <v>36</v>
      </c>
      <c r="L11" s="258">
        <f t="shared" si="3"/>
        <v>2</v>
      </c>
      <c r="M11" s="258">
        <f t="shared" si="1"/>
        <v>1</v>
      </c>
      <c r="N11" s="258" t="str">
        <f t="shared" si="4"/>
        <v>INSERT INTO [dbo].[GoldenRuleStreamliningAttributes]
           ([ID], [Impact]
           ,[Likelihood]
           ,[Difficulty]
           ,[ModifiedTime]
           ,[ModifiedByUserId])
     VALUES
           (36,2,1,3,getdate(),CURRENT_USER)</v>
      </c>
    </row>
    <row r="12" spans="1:14" ht="24.75" customHeight="1" x14ac:dyDescent="0.25">
      <c r="A12" s="376" t="str">
        <f>'1. Secure'!A37</f>
        <v>GR:37</v>
      </c>
      <c r="B12" s="259" t="str">
        <f>'1. Secure'!C37</f>
        <v>1.9</v>
      </c>
      <c r="C12" s="390" t="str">
        <f>'1. Secure'!D37</f>
        <v>Sensitive data must not be placed in a URI..</v>
      </c>
      <c r="D12" s="383">
        <f>'1. Secure'!E38</f>
        <v>0</v>
      </c>
      <c r="E12" s="391" t="str">
        <f>'1. Secure'!F38</f>
        <v>EA Summary Comments</v>
      </c>
      <c r="F12" s="447"/>
      <c r="G12" s="214" t="str">
        <f t="shared" si="0"/>
        <v>Sev2</v>
      </c>
      <c r="H12" s="214" t="s">
        <v>401</v>
      </c>
      <c r="I12" s="214" t="s">
        <v>402</v>
      </c>
      <c r="J12" s="376">
        <v>2</v>
      </c>
      <c r="K12" s="258" t="str">
        <f t="shared" si="2"/>
        <v>37</v>
      </c>
      <c r="L12" s="258">
        <f t="shared" si="3"/>
        <v>3</v>
      </c>
      <c r="M12" s="258">
        <f t="shared" si="1"/>
        <v>1</v>
      </c>
      <c r="N12" s="258" t="str">
        <f t="shared" si="4"/>
        <v>INSERT INTO [dbo].[GoldenRuleStreamliningAttributes]
           ([ID], [Impact]
           ,[Likelihood]
           ,[Difficulty]
           ,[ModifiedTime]
           ,[ModifiedByUserId])
     VALUES
           (37,3,1,2,getdate(),CURRENT_USER)</v>
      </c>
    </row>
    <row r="13" spans="1:14" ht="24.75" customHeight="1" x14ac:dyDescent="0.25">
      <c r="A13" s="376" t="str">
        <f>'1. Secure'!A41</f>
        <v>GR:38</v>
      </c>
      <c r="B13" s="259" t="str">
        <f>'1. Secure'!C41</f>
        <v>1.10</v>
      </c>
      <c r="C13" s="390" t="str">
        <f>'1. Secure'!D41</f>
        <v>Standard encryption implementations must be used where available.</v>
      </c>
      <c r="D13" s="383">
        <f>'1. Secure'!E42</f>
        <v>0</v>
      </c>
      <c r="E13" s="391" t="str">
        <f>'1. Secure'!F42</f>
        <v>EA Summary Comments</v>
      </c>
      <c r="F13" s="447"/>
      <c r="G13" s="214" t="str">
        <f t="shared" si="0"/>
        <v>Sev3</v>
      </c>
      <c r="H13" s="214" t="s">
        <v>401</v>
      </c>
      <c r="I13" s="214" t="s">
        <v>401</v>
      </c>
      <c r="J13" s="376">
        <v>2</v>
      </c>
      <c r="K13" s="258" t="str">
        <f t="shared" si="2"/>
        <v>38</v>
      </c>
      <c r="L13" s="258">
        <f t="shared" si="3"/>
        <v>3</v>
      </c>
      <c r="M13" s="258">
        <f t="shared" si="1"/>
        <v>2</v>
      </c>
      <c r="N13" s="258" t="str">
        <f t="shared" si="4"/>
        <v>INSERT INTO [dbo].[GoldenRuleStreamliningAttributes]
           ([ID], [Impact]
           ,[Likelihood]
           ,[Difficulty]
           ,[ModifiedTime]
           ,[ModifiedByUserId])
     VALUES
           (38,3,2,2,getdate(),CURRENT_USER)</v>
      </c>
    </row>
    <row r="14" spans="1:14" ht="24.75" customHeight="1" x14ac:dyDescent="0.25">
      <c r="A14" s="376" t="str">
        <f>'1. Secure'!A44</f>
        <v>GR:77</v>
      </c>
      <c r="B14" s="261" t="str">
        <f>'1. Secure'!C44</f>
        <v>1.11</v>
      </c>
      <c r="C14" s="390" t="str">
        <f>'1. Secure'!D44</f>
        <v>Production changes must be reviewed, approved and auditable.</v>
      </c>
      <c r="D14" s="383">
        <f>'1. Secure'!E45</f>
        <v>0</v>
      </c>
      <c r="E14" s="391" t="str">
        <f>'1. Secure'!F45</f>
        <v>EA Summary Comments</v>
      </c>
      <c r="F14" s="447"/>
      <c r="G14" s="214" t="str">
        <f t="shared" si="0"/>
        <v>Sev1</v>
      </c>
      <c r="H14" s="214" t="s">
        <v>972</v>
      </c>
      <c r="I14" s="214" t="s">
        <v>401</v>
      </c>
      <c r="J14" s="376">
        <v>4</v>
      </c>
      <c r="K14" s="258" t="str">
        <f t="shared" si="2"/>
        <v>77</v>
      </c>
      <c r="L14" s="258">
        <f t="shared" si="3"/>
        <v>1</v>
      </c>
      <c r="M14" s="258">
        <f t="shared" si="1"/>
        <v>2</v>
      </c>
      <c r="N14" s="258" t="str">
        <f t="shared" si="4"/>
        <v>INSERT INTO [dbo].[GoldenRuleStreamliningAttributes]
           ([ID], [Impact]
           ,[Likelihood]
           ,[Difficulty]
           ,[ModifiedTime]
           ,[ModifiedByUserId])
     VALUES
           (77,1,2,4,getdate(),CURRENT_USER)</v>
      </c>
    </row>
    <row r="15" spans="1:14" ht="24.75" customHeight="1" x14ac:dyDescent="0.25">
      <c r="A15" s="376" t="str">
        <f>'1. Secure'!A48</f>
        <v>GR:78</v>
      </c>
      <c r="B15" s="259" t="str">
        <f>'1. Secure'!C48</f>
        <v>1.12</v>
      </c>
      <c r="C15" s="390" t="str">
        <f>'1. Secure'!D48</f>
        <v>3rd party software must be used safely.</v>
      </c>
      <c r="D15" s="383">
        <f>'1. Secure'!E49</f>
        <v>0</v>
      </c>
      <c r="E15" s="391" t="str">
        <f>'1. Secure'!F49</f>
        <v>EA Summary Comments</v>
      </c>
      <c r="F15" s="447"/>
      <c r="G15" s="214" t="str">
        <f t="shared" si="0"/>
        <v>Sev2</v>
      </c>
      <c r="H15" s="214" t="s">
        <v>402</v>
      </c>
      <c r="I15" s="214" t="s">
        <v>401</v>
      </c>
      <c r="J15" s="376">
        <v>4</v>
      </c>
      <c r="K15" s="258" t="str">
        <f t="shared" si="2"/>
        <v>78</v>
      </c>
      <c r="L15" s="258">
        <f t="shared" si="3"/>
        <v>2</v>
      </c>
      <c r="M15" s="258">
        <f t="shared" si="1"/>
        <v>2</v>
      </c>
      <c r="N15" s="258" t="str">
        <f t="shared" si="4"/>
        <v>INSERT INTO [dbo].[GoldenRuleStreamliningAttributes]
           ([ID], [Impact]
           ,[Likelihood]
           ,[Difficulty]
           ,[ModifiedTime]
           ,[ModifiedByUserId])
     VALUES
           (78,2,2,4,getdate(),CURRENT_USER)</v>
      </c>
    </row>
    <row r="16" spans="1:14" ht="24.75" customHeight="1" x14ac:dyDescent="0.25">
      <c r="A16" s="376" t="str">
        <f>'1. Secure'!A54</f>
        <v>GR:137</v>
      </c>
      <c r="B16" s="259" t="str">
        <f>'1. Secure'!C54</f>
        <v>1.13</v>
      </c>
      <c r="C16" s="390" t="str">
        <f>'1. Secure'!D54</f>
        <v>Internet facing security exposures must be caught before they are exploited.</v>
      </c>
      <c r="D16" s="383">
        <f>'1. Secure'!E55</f>
        <v>0</v>
      </c>
      <c r="E16" s="391" t="str">
        <f>'1. Secure'!F55</f>
        <v>EA Summary Comments</v>
      </c>
      <c r="F16" s="447"/>
      <c r="G16" s="214" t="str">
        <f t="shared" si="0"/>
        <v>Sev1</v>
      </c>
      <c r="H16" s="214" t="s">
        <v>972</v>
      </c>
      <c r="I16" s="214" t="s">
        <v>402</v>
      </c>
      <c r="J16" s="376">
        <v>1</v>
      </c>
      <c r="K16" s="258" t="str">
        <f t="shared" si="2"/>
        <v>137</v>
      </c>
      <c r="L16" s="258">
        <f t="shared" si="3"/>
        <v>1</v>
      </c>
      <c r="M16" s="258">
        <f t="shared" si="1"/>
        <v>1</v>
      </c>
      <c r="N16" s="258" t="str">
        <f t="shared" si="4"/>
        <v>INSERT INTO [dbo].[GoldenRuleStreamliningAttributes]
           ([ID], [Impact]
           ,[Likelihood]
           ,[Difficulty]
           ,[ModifiedTime]
           ,[ModifiedByUserId])
     VALUES
           (137,1,1,1,getdate(),CURRENT_USER)</v>
      </c>
    </row>
    <row r="17" spans="1:14" ht="24.75" customHeight="1" x14ac:dyDescent="0.25">
      <c r="A17" s="376" t="str">
        <f>'1. Secure'!A58</f>
        <v>GR:138</v>
      </c>
      <c r="B17" s="259" t="str">
        <f>'1. Secure'!C58</f>
        <v>1.14</v>
      </c>
      <c r="C17" s="390" t="str">
        <f>'1. Secure'!D58</f>
        <v>Important security related events must be recorded and reported.</v>
      </c>
      <c r="D17" s="383">
        <f>'1. Secure'!E59</f>
        <v>0</v>
      </c>
      <c r="E17" s="391" t="str">
        <f>'1. Secure'!F59</f>
        <v>EA Summary Comments</v>
      </c>
      <c r="F17" s="447"/>
      <c r="G17" s="214" t="str">
        <f t="shared" si="0"/>
        <v>Sev2</v>
      </c>
      <c r="H17" s="214" t="s">
        <v>402</v>
      </c>
      <c r="I17" s="214" t="s">
        <v>401</v>
      </c>
      <c r="J17" s="376">
        <v>5</v>
      </c>
      <c r="K17" s="258" t="str">
        <f t="shared" si="2"/>
        <v>138</v>
      </c>
      <c r="L17" s="258">
        <f t="shared" si="3"/>
        <v>2</v>
      </c>
      <c r="M17" s="258">
        <f t="shared" si="1"/>
        <v>2</v>
      </c>
      <c r="N17" s="258" t="str">
        <f t="shared" si="4"/>
        <v>INSERT INTO [dbo].[GoldenRuleStreamliningAttributes]
           ([ID], [Impact]
           ,[Likelihood]
           ,[Difficulty]
           ,[ModifiedTime]
           ,[ModifiedByUserId])
     VALUES
           (138,2,2,5,getdate(),CURRENT_USER)</v>
      </c>
    </row>
    <row r="18" spans="1:14" ht="24.75" customHeight="1" x14ac:dyDescent="0.25">
      <c r="A18" s="376" t="str">
        <f>'1. Secure'!A65</f>
        <v>GR:1156</v>
      </c>
      <c r="B18" s="259" t="str">
        <f>'1. Secure'!C65</f>
        <v>1.15</v>
      </c>
      <c r="C18" s="390" t="str">
        <f>'1. Secure'!D65</f>
        <v>Production environments must be kept separate and secure.</v>
      </c>
      <c r="D18" s="383">
        <f>'1. Secure'!E66</f>
        <v>0</v>
      </c>
      <c r="E18" s="391" t="str">
        <f>'1. Secure'!F66</f>
        <v>EA Summary Comments</v>
      </c>
      <c r="F18" s="447"/>
      <c r="G18" s="214" t="str">
        <f t="shared" si="0"/>
        <v>Sev2</v>
      </c>
      <c r="H18" s="214" t="s">
        <v>402</v>
      </c>
      <c r="I18" s="214" t="s">
        <v>401</v>
      </c>
      <c r="J18" s="376">
        <v>7</v>
      </c>
      <c r="K18" s="258" t="str">
        <f t="shared" si="2"/>
        <v>1156</v>
      </c>
      <c r="L18" s="258">
        <f t="shared" si="3"/>
        <v>2</v>
      </c>
      <c r="M18" s="258">
        <f t="shared" si="1"/>
        <v>2</v>
      </c>
      <c r="N18" s="258" t="str">
        <f t="shared" si="4"/>
        <v>INSERT INTO [dbo].[GoldenRuleStreamliningAttributes]
           ([ID], [Impact]
           ,[Likelihood]
           ,[Difficulty]
           ,[ModifiedTime]
           ,[ModifiedByUserId])
     VALUES
           (1156,2,2,7,getdate(),CURRENT_USER)</v>
      </c>
    </row>
    <row r="19" spans="1:14" ht="24.75" customHeight="1" x14ac:dyDescent="0.25">
      <c r="A19" s="376" t="str">
        <f>'1. Secure'!A68</f>
        <v>GR:135</v>
      </c>
      <c r="B19" s="259" t="str">
        <f>'1. Secure'!C68</f>
        <v>1.16</v>
      </c>
      <c r="C19" s="390" t="str">
        <f>'1. Secure'!D68</f>
        <v>Standard authentication implementations must be used where available.</v>
      </c>
      <c r="D19" s="383">
        <f>'1. Secure'!E69</f>
        <v>0</v>
      </c>
      <c r="E19" s="391" t="str">
        <f>'1. Secure'!F69</f>
        <v>EA Summary Comments</v>
      </c>
      <c r="F19" s="447"/>
      <c r="G19" s="214" t="str">
        <f t="shared" si="0"/>
        <v>Sev2</v>
      </c>
      <c r="H19" s="214" t="s">
        <v>402</v>
      </c>
      <c r="I19" s="214" t="s">
        <v>401</v>
      </c>
      <c r="J19" s="376">
        <v>3</v>
      </c>
      <c r="K19" s="258" t="str">
        <f t="shared" si="2"/>
        <v>135</v>
      </c>
      <c r="L19" s="258">
        <f t="shared" si="3"/>
        <v>2</v>
      </c>
      <c r="M19" s="258">
        <f t="shared" si="1"/>
        <v>2</v>
      </c>
      <c r="N19" s="258" t="str">
        <f t="shared" si="4"/>
        <v>INSERT INTO [dbo].[GoldenRuleStreamliningAttributes]
           ([ID], [Impact]
           ,[Likelihood]
           ,[Difficulty]
           ,[ModifiedTime]
           ,[ModifiedByUserId])
     VALUES
           (135,2,2,3,getdate(),CURRENT_USER)</v>
      </c>
    </row>
    <row r="20" spans="1:14" ht="24.75" customHeight="1" x14ac:dyDescent="0.25">
      <c r="A20" s="376" t="str">
        <f>'1. Secure'!A71</f>
        <v>GR:101</v>
      </c>
      <c r="B20" s="259" t="str">
        <f>'1. Secure'!C71</f>
        <v>1.17</v>
      </c>
      <c r="C20" s="390" t="str">
        <f>'1. Secure'!D71</f>
        <v>Systems must degrade gracefully when attacked.</v>
      </c>
      <c r="D20" s="383">
        <f>'1. Secure'!E72</f>
        <v>0</v>
      </c>
      <c r="E20" s="391" t="str">
        <f>'1. Secure'!F72</f>
        <v>EA Summary Comments</v>
      </c>
      <c r="F20" s="447"/>
      <c r="G20" s="214" t="str">
        <f t="shared" si="0"/>
        <v>Sev3</v>
      </c>
      <c r="H20" s="214" t="s">
        <v>401</v>
      </c>
      <c r="I20" s="214" t="s">
        <v>401</v>
      </c>
      <c r="J20" s="376">
        <v>2</v>
      </c>
      <c r="K20" s="258" t="str">
        <f t="shared" si="2"/>
        <v>101</v>
      </c>
      <c r="L20" s="258">
        <f t="shared" si="3"/>
        <v>3</v>
      </c>
      <c r="M20" s="258">
        <f t="shared" si="1"/>
        <v>2</v>
      </c>
      <c r="N20" s="258" t="str">
        <f t="shared" si="4"/>
        <v>INSERT INTO [dbo].[GoldenRuleStreamliningAttributes]
           ([ID], [Impact]
           ,[Likelihood]
           ,[Difficulty]
           ,[ModifiedTime]
           ,[ModifiedByUserId])
     VALUES
           (101,3,2,2,getdate(),CURRENT_USER)</v>
      </c>
    </row>
    <row r="21" spans="1:14" ht="24.75" customHeight="1" x14ac:dyDescent="0.25">
      <c r="A21" s="376" t="str">
        <f>'1. Secure'!A74</f>
        <v>GR:1157</v>
      </c>
      <c r="B21" s="259" t="str">
        <f>'1. Secure'!C74</f>
        <v>1.18</v>
      </c>
      <c r="C21" s="390" t="str">
        <f>'1. Secure'!D74</f>
        <v>Infrastructure environments must be safe.</v>
      </c>
      <c r="D21" s="383">
        <f>'1. Secure'!E75</f>
        <v>0</v>
      </c>
      <c r="E21" s="391" t="str">
        <f>'1. Secure'!F75</f>
        <v>EA Summary Comments</v>
      </c>
      <c r="F21" s="447"/>
      <c r="G21" s="214" t="str">
        <f t="shared" si="0"/>
        <v>Sev1</v>
      </c>
      <c r="H21" s="214" t="s">
        <v>972</v>
      </c>
      <c r="I21" s="214" t="s">
        <v>401</v>
      </c>
      <c r="J21" s="376">
        <v>2</v>
      </c>
      <c r="K21" s="258" t="str">
        <f t="shared" si="2"/>
        <v>1157</v>
      </c>
      <c r="L21" s="258">
        <f t="shared" si="3"/>
        <v>1</v>
      </c>
      <c r="M21" s="258">
        <f t="shared" si="1"/>
        <v>2</v>
      </c>
      <c r="N21" s="258" t="str">
        <f t="shared" si="4"/>
        <v>INSERT INTO [dbo].[GoldenRuleStreamliningAttributes]
           ([ID], [Impact]
           ,[Likelihood]
           ,[Difficulty]
           ,[ModifiedTime]
           ,[ModifiedByUserId])
     VALUES
           (1157,1,2,2,getdate(),CURRENT_USER)</v>
      </c>
    </row>
    <row r="22" spans="1:14" ht="24.75" customHeight="1" x14ac:dyDescent="0.25">
      <c r="A22" s="376" t="str">
        <f>'1. Secure'!A77</f>
        <v>GR:1158</v>
      </c>
      <c r="B22" s="259" t="str">
        <f>'1. Secure'!C77</f>
        <v>1.19</v>
      </c>
      <c r="C22" s="390" t="str">
        <f>'1. Secure'!D77</f>
        <v>Access to important systems and data must be managed.</v>
      </c>
      <c r="D22" s="383">
        <f>'1. Secure'!E78</f>
        <v>0</v>
      </c>
      <c r="E22" s="391" t="str">
        <f>'1. Secure'!F78</f>
        <v>EA Summary Comments</v>
      </c>
      <c r="F22" s="447"/>
      <c r="G22" s="214" t="str">
        <f t="shared" si="0"/>
        <v>Sev2</v>
      </c>
      <c r="H22" s="214" t="s">
        <v>402</v>
      </c>
      <c r="I22" s="214" t="s">
        <v>401</v>
      </c>
      <c r="J22" s="376">
        <v>3</v>
      </c>
      <c r="K22" s="258" t="str">
        <f t="shared" si="2"/>
        <v>1158</v>
      </c>
      <c r="L22" s="258">
        <f t="shared" si="3"/>
        <v>2</v>
      </c>
      <c r="M22" s="258">
        <f t="shared" si="1"/>
        <v>2</v>
      </c>
      <c r="N22" s="258" t="str">
        <f t="shared" si="4"/>
        <v>INSERT INTO [dbo].[GoldenRuleStreamliningAttributes]
           ([ID], [Impact]
           ,[Likelihood]
           ,[Difficulty]
           ,[ModifiedTime]
           ,[ModifiedByUserId])
     VALUES
           (1158,2,2,3,getdate(),CURRENT_USER)</v>
      </c>
    </row>
    <row r="23" spans="1:14" ht="24.75" customHeight="1" x14ac:dyDescent="0.25">
      <c r="A23" s="376" t="str">
        <f>'2. Compliant'!A1</f>
        <v>P:5</v>
      </c>
      <c r="B23" s="260">
        <f>'2. Compliant'!C1</f>
        <v>2</v>
      </c>
      <c r="C23" s="382" t="str">
        <f>'2. Compliant'!D1</f>
        <v>Compliant</v>
      </c>
      <c r="D23" s="383">
        <f>'2. Compliant'!E2</f>
        <v>0</v>
      </c>
      <c r="E23" s="392" t="str">
        <f>'2. Compliant'!F2</f>
        <v>EA Summary Comments</v>
      </c>
      <c r="F23" s="448"/>
      <c r="G23" s="214" t="str">
        <f t="shared" si="0"/>
        <v/>
      </c>
      <c r="H23" s="214"/>
      <c r="I23" s="214"/>
      <c r="J23" s="376"/>
      <c r="M23" s="258">
        <f t="shared" si="1"/>
        <v>3</v>
      </c>
    </row>
    <row r="24" spans="1:14" ht="24.75" customHeight="1" x14ac:dyDescent="0.25">
      <c r="A24" s="376" t="str">
        <f>'2. Compliant'!A5</f>
        <v>GR:27</v>
      </c>
      <c r="B24" s="259" t="str">
        <f>'2. Compliant'!C5</f>
        <v>2.1</v>
      </c>
      <c r="C24" s="390" t="str">
        <f>'2. Compliant'!D5</f>
        <v>Intellectual Property must be protected.</v>
      </c>
      <c r="D24" s="383">
        <f>'2. Compliant'!E6</f>
        <v>0</v>
      </c>
      <c r="E24" s="391" t="str">
        <f>'2. Compliant'!F6</f>
        <v>EA Summary Comments</v>
      </c>
      <c r="F24" s="447"/>
      <c r="G24" s="214" t="str">
        <f t="shared" si="0"/>
        <v>Sev3</v>
      </c>
      <c r="H24" s="214" t="s">
        <v>400</v>
      </c>
      <c r="I24" s="214" t="s">
        <v>402</v>
      </c>
      <c r="J24" s="376">
        <v>1</v>
      </c>
      <c r="K24" s="258" t="str">
        <f t="shared" ref="K24:K27" si="5">MID(A24,FIND(":",A24)+1,4)</f>
        <v>27</v>
      </c>
      <c r="L24" s="258">
        <f>IF(H24="Catastrophic",1,IF(H24="High",2,IF(H24="Medium",3,4)))</f>
        <v>4</v>
      </c>
      <c r="M24" s="258">
        <f t="shared" si="1"/>
        <v>1</v>
      </c>
      <c r="N24" s="258" t="str">
        <f>"INSERT INTO [dbo].[GoldenRuleStreamliningAttributes]
           ([ID], [Impact]
           ,[Likelihood]
           ,[Difficulty]
           ,[ModifiedTime]
           ,[ModifiedByUserId])
     VALUES
           (" &amp; K24 &amp;","&amp;L24&amp;","&amp;M24&amp;","&amp;J24&amp;",getdate(),CURRENT_USER)"</f>
        <v>INSERT INTO [dbo].[GoldenRuleStreamliningAttributes]
           ([ID], [Impact]
           ,[Likelihood]
           ,[Difficulty]
           ,[ModifiedTime]
           ,[ModifiedByUserId])
     VALUES
           (27,4,1,1,getdate(),CURRENT_USER)</v>
      </c>
    </row>
    <row r="25" spans="1:14" ht="24.75" customHeight="1" x14ac:dyDescent="0.25">
      <c r="A25" s="376" t="str">
        <f>'2. Compliant'!A10</f>
        <v>GR:28</v>
      </c>
      <c r="B25" s="259" t="str">
        <f>'2. Compliant'!C10</f>
        <v>2.2</v>
      </c>
      <c r="C25" s="390" t="str">
        <f>'2. Compliant'!D10</f>
        <v>3rd party IP must be used in accordance to its license.</v>
      </c>
      <c r="D25" s="383">
        <f>'2. Compliant'!E11</f>
        <v>0</v>
      </c>
      <c r="E25" s="391" t="str">
        <f>'2. Compliant'!F11</f>
        <v>EA Summary Comments</v>
      </c>
      <c r="F25" s="447"/>
      <c r="G25" s="214" t="str">
        <f t="shared" si="0"/>
        <v>Sev1</v>
      </c>
      <c r="H25" s="214" t="s">
        <v>402</v>
      </c>
      <c r="I25" s="214" t="s">
        <v>402</v>
      </c>
      <c r="J25" s="376">
        <v>1</v>
      </c>
      <c r="K25" s="258" t="str">
        <f t="shared" si="5"/>
        <v>28</v>
      </c>
      <c r="L25" s="258">
        <f>IF(H25="Catastrophic",1,IF(H25="High",2,IF(H25="Medium",3,4)))</f>
        <v>2</v>
      </c>
      <c r="M25" s="258">
        <f t="shared" si="1"/>
        <v>1</v>
      </c>
      <c r="N25" s="258" t="str">
        <f>"INSERT INTO [dbo].[GoldenRuleStreamliningAttributes]
           ([ID], [Impact]
           ,[Likelihood]
           ,[Difficulty]
           ,[ModifiedTime]
           ,[ModifiedByUserId])
     VALUES
           (" &amp; K25 &amp;","&amp;L25&amp;","&amp;M25&amp;","&amp;J25&amp;",getdate(),CURRENT_USER)"</f>
        <v>INSERT INTO [dbo].[GoldenRuleStreamliningAttributes]
           ([ID], [Impact]
           ,[Likelihood]
           ,[Difficulty]
           ,[ModifiedTime]
           ,[ModifiedByUserId])
     VALUES
           (28,2,1,1,getdate(),CURRENT_USER)</v>
      </c>
    </row>
    <row r="26" spans="1:14" ht="24.75" customHeight="1" x14ac:dyDescent="0.25">
      <c r="A26" s="376" t="str">
        <f>'2. Compliant'!A14</f>
        <v>GR:67</v>
      </c>
      <c r="B26" s="259" t="str">
        <f>'2. Compliant'!C14</f>
        <v>2.3</v>
      </c>
      <c r="C26" s="390" t="str">
        <f>'2. Compliant'!D14</f>
        <v>Source code must be stored in a secure and managed repository.</v>
      </c>
      <c r="D26" s="383">
        <f>'2. Compliant'!E15</f>
        <v>0</v>
      </c>
      <c r="E26" s="391" t="str">
        <f>'2. Compliant'!F15</f>
        <v>EA Summary Comments</v>
      </c>
      <c r="F26" s="447"/>
      <c r="G26" s="214" t="str">
        <f t="shared" si="0"/>
        <v>Sev1</v>
      </c>
      <c r="H26" s="214" t="s">
        <v>402</v>
      </c>
      <c r="I26" s="214" t="s">
        <v>402</v>
      </c>
      <c r="J26" s="376">
        <v>1</v>
      </c>
      <c r="K26" s="258" t="str">
        <f t="shared" si="5"/>
        <v>67</v>
      </c>
      <c r="L26" s="258">
        <f>IF(H26="Catastrophic",1,IF(H26="High",2,IF(H26="Medium",3,4)))</f>
        <v>2</v>
      </c>
      <c r="M26" s="258">
        <f t="shared" si="1"/>
        <v>1</v>
      </c>
      <c r="N26" s="258" t="str">
        <f>"INSERT INTO [dbo].[GoldenRuleStreamliningAttributes]
           ([ID], [Impact]
           ,[Likelihood]
           ,[Difficulty]
           ,[ModifiedTime]
           ,[ModifiedByUserId])
     VALUES
           (" &amp; K26 &amp;","&amp;L26&amp;","&amp;M26&amp;","&amp;J26&amp;",getdate(),CURRENT_USER)"</f>
        <v>INSERT INTO [dbo].[GoldenRuleStreamliningAttributes]
           ([ID], [Impact]
           ,[Likelihood]
           ,[Difficulty]
           ,[ModifiedTime]
           ,[ModifiedByUserId])
     VALUES
           (67,2,1,1,getdate(),CURRENT_USER)</v>
      </c>
    </row>
    <row r="27" spans="1:14" ht="24.75" customHeight="1" x14ac:dyDescent="0.25">
      <c r="A27" s="376" t="str">
        <f>'2. Compliant'!A17</f>
        <v>GR:62</v>
      </c>
      <c r="B27" s="259" t="str">
        <f>'2. Compliant'!C17</f>
        <v>2.4</v>
      </c>
      <c r="C27" s="390" t="str">
        <f>'2. Compliant'!D17</f>
        <v>Customer facing U/Is must be accessible by users with disabilities.</v>
      </c>
      <c r="D27" s="383">
        <f>'2. Compliant'!E18</f>
        <v>0</v>
      </c>
      <c r="E27" s="389" t="str">
        <f>'2. Compliant'!F18</f>
        <v>EA Summary Comments</v>
      </c>
      <c r="F27" s="446"/>
      <c r="G27" s="214" t="str">
        <f t="shared" si="0"/>
        <v>Sev3</v>
      </c>
      <c r="H27" s="214" t="s">
        <v>401</v>
      </c>
      <c r="I27" s="214" t="s">
        <v>401</v>
      </c>
      <c r="J27" s="376">
        <v>1</v>
      </c>
      <c r="K27" s="258" t="str">
        <f t="shared" si="5"/>
        <v>62</v>
      </c>
      <c r="L27" s="258">
        <f>IF(H27="Catastrophic",1,IF(H27="High",2,IF(H27="Medium",3,4)))</f>
        <v>3</v>
      </c>
      <c r="M27" s="258">
        <f t="shared" si="1"/>
        <v>2</v>
      </c>
      <c r="N27" s="258" t="str">
        <f>"INSERT INTO [dbo].[GoldenRuleStreamliningAttributes]
           ([ID], [Impact]
           ,[Likelihood]
           ,[Difficulty]
           ,[ModifiedTime]
           ,[ModifiedByUserId])
     VALUES
           (" &amp; K27 &amp;","&amp;L27&amp;","&amp;M27&amp;","&amp;J27&amp;",getdate(),CURRENT_USER)"</f>
        <v>INSERT INTO [dbo].[GoldenRuleStreamliningAttributes]
           ([ID], [Impact]
           ,[Likelihood]
           ,[Difficulty]
           ,[ModifiedTime]
           ,[ModifiedByUserId])
     VALUES
           (62,3,2,1,getdate(),CURRENT_USER)</v>
      </c>
    </row>
    <row r="28" spans="1:14" ht="24.75" customHeight="1" x14ac:dyDescent="0.25">
      <c r="A28" s="376" t="str">
        <f>'3. Reliable'!A1</f>
        <v>P:9</v>
      </c>
      <c r="B28" s="260">
        <f>'3. Reliable'!C1</f>
        <v>3</v>
      </c>
      <c r="C28" s="393" t="str">
        <f>'3. Reliable'!D1</f>
        <v>Reliable</v>
      </c>
      <c r="D28" s="383">
        <f>'3. Reliable'!E2</f>
        <v>0</v>
      </c>
      <c r="E28" s="392" t="str">
        <f>'3. Reliable'!F2</f>
        <v>EA Summary Comments</v>
      </c>
      <c r="F28" s="448"/>
      <c r="G28" s="214" t="str">
        <f t="shared" si="0"/>
        <v/>
      </c>
      <c r="H28" s="214"/>
      <c r="I28" s="214"/>
      <c r="J28" s="376"/>
      <c r="M28" s="258">
        <f t="shared" si="1"/>
        <v>3</v>
      </c>
    </row>
    <row r="29" spans="1:14" ht="24.75" customHeight="1" x14ac:dyDescent="0.25">
      <c r="A29" s="376" t="str">
        <f>'3. Reliable'!A5</f>
        <v>GR:79</v>
      </c>
      <c r="B29" s="259" t="str">
        <f>'3. Reliable'!C5</f>
        <v>3.1</v>
      </c>
      <c r="C29" s="390" t="str">
        <f>'3. Reliable'!D5</f>
        <v>Systems must meet performance and availability SLRs and Recovery Objectives.</v>
      </c>
      <c r="D29" s="383">
        <f>'3. Reliable'!E6</f>
        <v>0</v>
      </c>
      <c r="E29" s="391" t="str">
        <f>'3. Reliable'!F6</f>
        <v>EA Summary Comments</v>
      </c>
      <c r="F29" s="447"/>
      <c r="G29" s="214" t="str">
        <f t="shared" si="0"/>
        <v>Sev2</v>
      </c>
      <c r="H29" s="214" t="s">
        <v>402</v>
      </c>
      <c r="I29" s="214" t="s">
        <v>401</v>
      </c>
      <c r="J29" s="376">
        <v>3</v>
      </c>
      <c r="K29" s="258" t="str">
        <f t="shared" ref="K29:K30" si="6">MID(A29,FIND(":",A29)+1,4)</f>
        <v>79</v>
      </c>
      <c r="L29" s="258">
        <f>IF(H29="Catastrophic",1,IF(H29="High",2,IF(H29="Medium",3,4)))</f>
        <v>2</v>
      </c>
      <c r="M29" s="258">
        <f t="shared" si="1"/>
        <v>2</v>
      </c>
      <c r="N29" s="258" t="str">
        <f>"INSERT INTO [dbo].[GoldenRuleStreamliningAttributes]
           ([ID], [Impact]
           ,[Likelihood]
           ,[Difficulty]
           ,[ModifiedTime]
           ,[ModifiedByUserId])
     VALUES
           (" &amp; K29 &amp;","&amp;L29&amp;","&amp;M29&amp;","&amp;J29&amp;",getdate(),CURRENT_USER)"</f>
        <v>INSERT INTO [dbo].[GoldenRuleStreamliningAttributes]
           ([ID], [Impact]
           ,[Likelihood]
           ,[Difficulty]
           ,[ModifiedTime]
           ,[ModifiedByUserId])
     VALUES
           (79,2,2,3,getdate(),CURRENT_USER)</v>
      </c>
    </row>
    <row r="30" spans="1:14" ht="24.75" customHeight="1" x14ac:dyDescent="0.25">
      <c r="A30" s="376" t="str">
        <f>'3. Reliable'!A11</f>
        <v>GR:1161</v>
      </c>
      <c r="B30" s="259" t="str">
        <f>'3. Reliable'!C11</f>
        <v>3.2</v>
      </c>
      <c r="C30" s="390" t="str">
        <f>'3. Reliable'!D11</f>
        <v>Systems must have an appropriate plan for functional testing.</v>
      </c>
      <c r="D30" s="383">
        <f>'3. Reliable'!E12</f>
        <v>0</v>
      </c>
      <c r="E30" s="391" t="str">
        <f>'3. Reliable'!F12</f>
        <v>EA Summary Comments</v>
      </c>
      <c r="F30" s="447"/>
      <c r="G30" s="214" t="str">
        <f t="shared" si="0"/>
        <v>Sev2</v>
      </c>
      <c r="H30" s="214" t="s">
        <v>402</v>
      </c>
      <c r="I30" s="214" t="s">
        <v>401</v>
      </c>
      <c r="J30" s="376">
        <v>4</v>
      </c>
      <c r="K30" s="258" t="str">
        <f t="shared" si="6"/>
        <v>1161</v>
      </c>
      <c r="L30" s="258">
        <f>IF(H30="Catastrophic",1,IF(H30="High",2,IF(H30="Medium",3,4)))</f>
        <v>2</v>
      </c>
      <c r="M30" s="258">
        <f t="shared" si="1"/>
        <v>2</v>
      </c>
      <c r="N30" s="258" t="str">
        <f>"INSERT INTO [dbo].[GoldenRuleStreamliningAttributes]
           ([ID], [Impact]
           ,[Likelihood]
           ,[Difficulty]
           ,[ModifiedTime]
           ,[ModifiedByUserId])
     VALUES
           (" &amp; K30 &amp;","&amp;L30&amp;","&amp;M30&amp;","&amp;J30&amp;",getdate(),CURRENT_USER)"</f>
        <v>INSERT INTO [dbo].[GoldenRuleStreamliningAttributes]
           ([ID], [Impact]
           ,[Likelihood]
           ,[Difficulty]
           ,[ModifiedTime]
           ,[ModifiedByUserId])
     VALUES
           (1161,2,2,4,getdate(),CURRENT_USER)</v>
      </c>
    </row>
    <row r="31" spans="1:14" ht="24.75" customHeight="1" x14ac:dyDescent="0.25">
      <c r="A31" s="376" t="str">
        <f>'4. Scalable'!A1</f>
        <v>P:7</v>
      </c>
      <c r="B31" s="260">
        <f>'4. Scalable'!C1</f>
        <v>4</v>
      </c>
      <c r="C31" s="382" t="str">
        <f>'4. Scalable'!D1</f>
        <v>Scalable</v>
      </c>
      <c r="D31" s="383">
        <f>'4. Scalable'!E2</f>
        <v>0</v>
      </c>
      <c r="E31" s="384" t="str">
        <f>'4. Scalable'!F2</f>
        <v>EA Summary Comments</v>
      </c>
      <c r="F31" s="443"/>
      <c r="G31" s="214" t="str">
        <f t="shared" si="0"/>
        <v/>
      </c>
      <c r="H31" s="214"/>
      <c r="I31" s="214"/>
      <c r="J31" s="376"/>
      <c r="M31" s="258">
        <f t="shared" si="1"/>
        <v>3</v>
      </c>
    </row>
    <row r="32" spans="1:14" ht="24.75" customHeight="1" x14ac:dyDescent="0.25">
      <c r="A32" s="376" t="str">
        <f>'4. Scalable'!A5</f>
        <v>GR:1159</v>
      </c>
      <c r="B32" s="259" t="str">
        <f>'4. Scalable'!C5</f>
        <v>4.1</v>
      </c>
      <c r="C32" s="390" t="str">
        <f>'4. Scalable'!D5</f>
        <v>Systems must deliver acceptable performance under anticipated load.</v>
      </c>
      <c r="D32" s="383">
        <f>'4. Scalable'!E6</f>
        <v>0</v>
      </c>
      <c r="E32" s="391" t="str">
        <f>'4. Scalable'!F6</f>
        <v>EA Summary Comments</v>
      </c>
      <c r="F32" s="447"/>
      <c r="G32" s="214" t="str">
        <f t="shared" si="0"/>
        <v>Sev1</v>
      </c>
      <c r="H32" s="214" t="s">
        <v>402</v>
      </c>
      <c r="I32" s="214" t="s">
        <v>402</v>
      </c>
      <c r="J32" s="376">
        <v>3</v>
      </c>
      <c r="K32" s="258" t="str">
        <f t="shared" ref="K32:K33" si="7">MID(A32,FIND(":",A32)+1,4)</f>
        <v>1159</v>
      </c>
      <c r="L32" s="258">
        <f>IF(H32="Catastrophic",1,IF(H32="High",2,IF(H32="Medium",3,4)))</f>
        <v>2</v>
      </c>
      <c r="M32" s="258">
        <f t="shared" si="1"/>
        <v>1</v>
      </c>
      <c r="N32" s="258" t="str">
        <f>"INSERT INTO [dbo].[GoldenRuleStreamliningAttributes]
           ([ID], [Impact]
           ,[Likelihood]
           ,[Difficulty]
           ,[ModifiedTime]
           ,[ModifiedByUserId])
     VALUES
           (" &amp; K32 &amp;","&amp;L32&amp;","&amp;M32&amp;","&amp;J32&amp;",getdate(),CURRENT_USER)"</f>
        <v>INSERT INTO [dbo].[GoldenRuleStreamliningAttributes]
           ([ID], [Impact]
           ,[Likelihood]
           ,[Difficulty]
           ,[ModifiedTime]
           ,[ModifiedByUserId])
     VALUES
           (1159,2,1,3,getdate(),CURRENT_USER)</v>
      </c>
    </row>
    <row r="33" spans="1:14" ht="24.75" customHeight="1" x14ac:dyDescent="0.25">
      <c r="A33" s="376" t="str">
        <f>'4. Scalable'!A11</f>
        <v>GR:1160</v>
      </c>
      <c r="B33" s="259" t="str">
        <f>'4. Scalable'!C11</f>
        <v>4.2</v>
      </c>
      <c r="C33" s="390" t="str">
        <f>'4. Scalable'!D11</f>
        <v>Systems must optimize purchase of capacity.</v>
      </c>
      <c r="D33" s="383">
        <f>'4. Scalable'!E12</f>
        <v>0</v>
      </c>
      <c r="E33" s="391" t="str">
        <f>'4. Scalable'!F12</f>
        <v>EA Summary Comments</v>
      </c>
      <c r="F33" s="447"/>
      <c r="G33" s="214" t="str">
        <f t="shared" si="0"/>
        <v>Sev1</v>
      </c>
      <c r="H33" s="214" t="s">
        <v>402</v>
      </c>
      <c r="I33" s="214" t="s">
        <v>402</v>
      </c>
      <c r="J33" s="376">
        <v>4</v>
      </c>
      <c r="K33" s="258" t="str">
        <f t="shared" si="7"/>
        <v>1160</v>
      </c>
      <c r="L33" s="258">
        <f>IF(H33="Catastrophic",1,IF(H33="High",2,IF(H33="Medium",3,4)))</f>
        <v>2</v>
      </c>
      <c r="M33" s="258">
        <f t="shared" si="1"/>
        <v>1</v>
      </c>
      <c r="N33" s="258" t="str">
        <f>"INSERT INTO [dbo].[GoldenRuleStreamliningAttributes]
           ([ID], [Impact]
           ,[Likelihood]
           ,[Difficulty]
           ,[ModifiedTime]
           ,[ModifiedByUserId])
     VALUES
           (" &amp; K33 &amp;","&amp;L33&amp;","&amp;M33&amp;","&amp;J33&amp;",getdate(),CURRENT_USER)"</f>
        <v>INSERT INTO [dbo].[GoldenRuleStreamliningAttributes]
           ([ID], [Impact]
           ,[Likelihood]
           ,[Difficulty]
           ,[ModifiedTime]
           ,[ModifiedByUserId])
     VALUES
           (1160,2,1,4,getdate(),CURRENT_USER)</v>
      </c>
    </row>
    <row r="34" spans="1:14" ht="24.75" customHeight="1" x14ac:dyDescent="0.25">
      <c r="A34" s="376" t="str">
        <f>'5. Manageable'!A1</f>
        <v>P:8</v>
      </c>
      <c r="B34" s="260">
        <f>'5. Manageable'!C1</f>
        <v>5</v>
      </c>
      <c r="C34" s="382" t="str">
        <f>'5. Manageable'!D1</f>
        <v>Manageable</v>
      </c>
      <c r="D34" s="383">
        <f>'5. Manageable'!E2</f>
        <v>0</v>
      </c>
      <c r="E34" s="384" t="str">
        <f>'5. Manageable'!F2</f>
        <v>EA Summary Comments</v>
      </c>
      <c r="F34" s="443"/>
      <c r="G34" s="214" t="str">
        <f t="shared" si="0"/>
        <v/>
      </c>
      <c r="H34" s="214"/>
      <c r="I34" s="214"/>
      <c r="J34" s="376"/>
      <c r="M34" s="258">
        <f t="shared" si="1"/>
        <v>3</v>
      </c>
    </row>
    <row r="35" spans="1:14" ht="24.75" customHeight="1" x14ac:dyDescent="0.25">
      <c r="A35" s="376" t="str">
        <f>'5. Manageable'!A5</f>
        <v>GR:44</v>
      </c>
      <c r="B35" s="259" t="str">
        <f>'5. Manageable'!C5</f>
        <v>5.1</v>
      </c>
      <c r="C35" s="390" t="str">
        <f>'5. Manageable'!D5</f>
        <v>Systems must respond to standard control commands.</v>
      </c>
      <c r="D35" s="383">
        <f>'5. Manageable'!E6</f>
        <v>0</v>
      </c>
      <c r="E35" s="391" t="str">
        <f>'5. Manageable'!F6</f>
        <v>EA Summary Comments</v>
      </c>
      <c r="F35" s="447"/>
      <c r="G35" s="214" t="str">
        <f t="shared" ref="G35:G51" si="8">IF(H35="Catastrophic","Sev1",IF(H35="High",IF(I35="High","Sev1",IF(I35="Medium","Sev2",IF(I35="Low","Sev3",""))),IF(H35="Medium",IF(I35="High","Sev2",IF(I35="Medium","Sev3",IF(I35="Low","Sev4"))),IF(H35="Low",IF(I35="High","Sev3",IF(I35="Medium","Sev4",IF(I35="Low","Guidance",""))),""))))</f>
        <v>Sev3</v>
      </c>
      <c r="H35" s="214" t="s">
        <v>401</v>
      </c>
      <c r="I35" s="214" t="s">
        <v>401</v>
      </c>
      <c r="J35" s="376">
        <v>1</v>
      </c>
      <c r="K35" s="258" t="str">
        <f t="shared" ref="K35:K38" si="9">MID(A35,FIND(":",A35)+1,4)</f>
        <v>44</v>
      </c>
      <c r="L35" s="258">
        <f>IF(H35="Catastrophic",1,IF(H35="High",2,IF(H35="Medium",3,4)))</f>
        <v>3</v>
      </c>
      <c r="M35" s="258">
        <f t="shared" ref="M35:M51" si="10">IF(I35="High",1,IF(I35="Medium",2,3))</f>
        <v>2</v>
      </c>
      <c r="N35" s="258" t="str">
        <f>"INSERT INTO [dbo].[GoldenRuleStreamliningAttributes]
           ([ID], [Impact]
           ,[Likelihood]
           ,[Difficulty]
           ,[ModifiedTime]
           ,[ModifiedByUserId])
     VALUES
           (" &amp; K35 &amp;","&amp;L35&amp;","&amp;M35&amp;","&amp;J35&amp;",getdate(),CURRENT_USER)"</f>
        <v>INSERT INTO [dbo].[GoldenRuleStreamliningAttributes]
           ([ID], [Impact]
           ,[Likelihood]
           ,[Difficulty]
           ,[ModifiedTime]
           ,[ModifiedByUserId])
     VALUES
           (44,3,2,1,getdate(),CURRENT_USER)</v>
      </c>
    </row>
    <row r="36" spans="1:14" ht="24.75" customHeight="1" x14ac:dyDescent="0.25">
      <c r="A36" s="376" t="str">
        <f>'5. Manageable'!A9</f>
        <v>GR:45</v>
      </c>
      <c r="B36" s="259" t="str">
        <f>'5. Manageable'!C9</f>
        <v>5.2</v>
      </c>
      <c r="C36" s="390" t="str">
        <f>'5. Manageable'!D9</f>
        <v>Systems must publish appropriate operational events.</v>
      </c>
      <c r="D36" s="383">
        <f>'5. Manageable'!E10</f>
        <v>0</v>
      </c>
      <c r="E36" s="391" t="str">
        <f>'5. Manageable'!F10</f>
        <v>EA Summary Comments</v>
      </c>
      <c r="F36" s="447"/>
      <c r="G36" s="214" t="str">
        <f t="shared" si="8"/>
        <v>Sev2</v>
      </c>
      <c r="H36" s="214" t="s">
        <v>402</v>
      </c>
      <c r="I36" s="214" t="s">
        <v>401</v>
      </c>
      <c r="J36" s="376">
        <v>1</v>
      </c>
      <c r="K36" s="258" t="str">
        <f t="shared" si="9"/>
        <v>45</v>
      </c>
      <c r="L36" s="258">
        <f>IF(H36="Catastrophic",1,IF(H36="High",2,IF(H36="Medium",3,4)))</f>
        <v>2</v>
      </c>
      <c r="M36" s="258">
        <f t="shared" si="10"/>
        <v>2</v>
      </c>
      <c r="N36" s="258" t="str">
        <f>"INSERT INTO [dbo].[GoldenRuleStreamliningAttributes]
           ([ID], [Impact]
           ,[Likelihood]
           ,[Difficulty]
           ,[ModifiedTime]
           ,[ModifiedByUserId])
     VALUES
           (" &amp; K36 &amp;","&amp;L36&amp;","&amp;M36&amp;","&amp;J36&amp;",getdate(),CURRENT_USER)"</f>
        <v>INSERT INTO [dbo].[GoldenRuleStreamliningAttributes]
           ([ID], [Impact]
           ,[Likelihood]
           ,[Difficulty]
           ,[ModifiedTime]
           ,[ModifiedByUserId])
     VALUES
           (45,2,2,1,getdate(),CURRENT_USER)</v>
      </c>
    </row>
    <row r="37" spans="1:14" ht="24.75" customHeight="1" x14ac:dyDescent="0.25">
      <c r="A37" s="376" t="str">
        <f>'5. Manageable'!A13</f>
        <v>GR:75</v>
      </c>
      <c r="B37" s="259" t="str">
        <f>'5. Manageable'!C13</f>
        <v>5.3</v>
      </c>
      <c r="C37" s="390" t="str">
        <f>'5. Manageable'!D13</f>
        <v>Systems must publish Performance and Capacity data.</v>
      </c>
      <c r="D37" s="383">
        <f>'5. Manageable'!E14</f>
        <v>0</v>
      </c>
      <c r="E37" s="391" t="str">
        <f>'5. Manageable'!F14</f>
        <v>EA Summary Comments</v>
      </c>
      <c r="F37" s="447"/>
      <c r="G37" s="214" t="str">
        <f t="shared" si="8"/>
        <v>Sev1</v>
      </c>
      <c r="H37" s="214" t="s">
        <v>402</v>
      </c>
      <c r="I37" s="214" t="s">
        <v>402</v>
      </c>
      <c r="J37" s="376">
        <v>2</v>
      </c>
      <c r="K37" s="258" t="str">
        <f t="shared" si="9"/>
        <v>75</v>
      </c>
      <c r="L37" s="258">
        <f>IF(H37="Catastrophic",1,IF(H37="High",2,IF(H37="Medium",3,4)))</f>
        <v>2</v>
      </c>
      <c r="M37" s="258">
        <f t="shared" si="10"/>
        <v>1</v>
      </c>
      <c r="N37" s="258" t="str">
        <f>"INSERT INTO [dbo].[GoldenRuleStreamliningAttributes]
           ([ID], [Impact]
           ,[Likelihood]
           ,[Difficulty]
           ,[ModifiedTime]
           ,[ModifiedByUserId])
     VALUES
           (" &amp; K37 &amp;","&amp;L37&amp;","&amp;M37&amp;","&amp;J37&amp;",getdate(),CURRENT_USER)"</f>
        <v>INSERT INTO [dbo].[GoldenRuleStreamliningAttributes]
           ([ID], [Impact]
           ,[Likelihood]
           ,[Difficulty]
           ,[ModifiedTime]
           ,[ModifiedByUserId])
     VALUES
           (75,2,1,2,getdate(),CURRENT_USER)</v>
      </c>
    </row>
    <row r="38" spans="1:14" ht="24.75" customHeight="1" x14ac:dyDescent="0.25">
      <c r="A38" s="394" t="str">
        <f>'5. Manageable'!A18</f>
        <v>GR:146</v>
      </c>
      <c r="B38" s="261" t="str">
        <f>'5. Manageable'!C18</f>
        <v>5.4</v>
      </c>
      <c r="C38" s="395" t="str">
        <f>'5. Manageable'!D18</f>
        <v>An inventory of all system hosts must be available.</v>
      </c>
      <c r="D38" s="383">
        <f>'5. Manageable'!E19</f>
        <v>0</v>
      </c>
      <c r="E38" s="396" t="str">
        <f>'5. Manageable'!F19</f>
        <v>EA Summary Comments</v>
      </c>
      <c r="F38" s="449"/>
      <c r="G38" s="214" t="str">
        <f t="shared" si="8"/>
        <v>Sev1</v>
      </c>
      <c r="H38" s="214" t="s">
        <v>972</v>
      </c>
      <c r="I38" s="214" t="s">
        <v>402</v>
      </c>
      <c r="J38" s="376">
        <v>1</v>
      </c>
      <c r="K38" s="258" t="str">
        <f t="shared" si="9"/>
        <v>146</v>
      </c>
      <c r="L38" s="258">
        <f>IF(H38="Catastrophic",1,IF(H38="High",2,IF(H38="Medium",3,4)))</f>
        <v>1</v>
      </c>
      <c r="M38" s="258">
        <f t="shared" si="10"/>
        <v>1</v>
      </c>
      <c r="N38" s="258" t="str">
        <f>"INSERT INTO [dbo].[GoldenRuleStreamliningAttributes]
           ([ID], [Impact]
           ,[Likelihood]
           ,[Difficulty]
           ,[ModifiedTime]
           ,[ModifiedByUserId])
     VALUES
           (" &amp; K38 &amp;","&amp;L38&amp;","&amp;M38&amp;","&amp;J38&amp;",getdate(),CURRENT_USER)"</f>
        <v>INSERT INTO [dbo].[GoldenRuleStreamliningAttributes]
           ([ID], [Impact]
           ,[Likelihood]
           ,[Difficulty]
           ,[ModifiedTime]
           ,[ModifiedByUserId])
     VALUES
           (146,1,1,1,getdate(),CURRENT_USER)</v>
      </c>
    </row>
    <row r="39" spans="1:14" ht="24.75" customHeight="1" x14ac:dyDescent="0.25">
      <c r="A39" s="376" t="str">
        <f>'6. Simple'!A1</f>
        <v>P:3</v>
      </c>
      <c r="B39" s="260">
        <f>'6. Simple'!C1</f>
        <v>6</v>
      </c>
      <c r="C39" s="382" t="str">
        <f>'6. Simple'!D1</f>
        <v>Simple</v>
      </c>
      <c r="D39" s="383">
        <f>'6. Simple'!E2</f>
        <v>0</v>
      </c>
      <c r="E39" s="384" t="str">
        <f>'6. Simple'!F2</f>
        <v>EA Summary Comments</v>
      </c>
      <c r="F39" s="443"/>
      <c r="G39" s="214" t="str">
        <f t="shared" si="8"/>
        <v/>
      </c>
      <c r="H39" s="214"/>
      <c r="I39" s="214"/>
      <c r="J39" s="376"/>
      <c r="M39" s="258">
        <f t="shared" si="10"/>
        <v>3</v>
      </c>
    </row>
    <row r="40" spans="1:14" ht="24.75" customHeight="1" x14ac:dyDescent="0.25">
      <c r="A40" s="376" t="str">
        <f>'6. Simple'!A5</f>
        <v>GR:20</v>
      </c>
      <c r="B40" s="259" t="str">
        <f>'6. Simple'!C5</f>
        <v>6.1</v>
      </c>
      <c r="C40" s="390" t="str">
        <f>'6. Simple'!D5</f>
        <v>Legacy Assets and Deprecated Interfaces must not be used by Strategic assets.</v>
      </c>
      <c r="D40" s="383">
        <f>'6. Simple'!E6</f>
        <v>0</v>
      </c>
      <c r="E40" s="391" t="str">
        <f>'6. Simple'!F6</f>
        <v>EA Summary Comments</v>
      </c>
      <c r="F40" s="447"/>
      <c r="G40" s="214" t="str">
        <f t="shared" si="8"/>
        <v>Sev1</v>
      </c>
      <c r="H40" s="214" t="s">
        <v>402</v>
      </c>
      <c r="I40" s="214" t="s">
        <v>402</v>
      </c>
      <c r="J40" s="376">
        <v>3</v>
      </c>
      <c r="K40" s="258" t="str">
        <f t="shared" ref="K40:K41" si="11">MID(A40,FIND(":",A40)+1,4)</f>
        <v>20</v>
      </c>
      <c r="L40" s="258">
        <f>IF(H40="Catastrophic",1,IF(H40="High",2,IF(H40="Medium",3,4)))</f>
        <v>2</v>
      </c>
      <c r="M40" s="258">
        <f t="shared" si="10"/>
        <v>1</v>
      </c>
      <c r="N40" s="258" t="str">
        <f>"INSERT INTO [dbo].[GoldenRuleStreamliningAttributes]
           ([ID], [Impact]
           ,[Likelihood]
           ,[Difficulty]
           ,[ModifiedTime]
           ,[ModifiedByUserId])
     VALUES
           (" &amp; K40 &amp;","&amp;L40&amp;","&amp;M40&amp;","&amp;J40&amp;",getdate(),CURRENT_USER)"</f>
        <v>INSERT INTO [dbo].[GoldenRuleStreamliningAttributes]
           ([ID], [Impact]
           ,[Likelihood]
           ,[Difficulty]
           ,[ModifiedTime]
           ,[ModifiedByUserId])
     VALUES
           (20,2,1,3,getdate(),CURRENT_USER)</v>
      </c>
    </row>
    <row r="41" spans="1:14" ht="24.75" customHeight="1" x14ac:dyDescent="0.25">
      <c r="A41" s="376" t="str">
        <f>'6. Simple'!A10</f>
        <v>GR:24</v>
      </c>
      <c r="B41" s="259" t="str">
        <f>'6. Simple'!C10</f>
        <v>6.2</v>
      </c>
      <c r="C41" s="390" t="str">
        <f>'6. Simple'!D10</f>
        <v>Code packaging must facilitate independent releases.</v>
      </c>
      <c r="D41" s="383">
        <f>'6. Simple'!E11</f>
        <v>0</v>
      </c>
      <c r="E41" s="391" t="str">
        <f>'6. Simple'!F11</f>
        <v>EA Summary Comments</v>
      </c>
      <c r="F41" s="447"/>
      <c r="G41" s="214" t="str">
        <f t="shared" si="8"/>
        <v>Sev2</v>
      </c>
      <c r="H41" s="214" t="s">
        <v>401</v>
      </c>
      <c r="I41" s="214" t="s">
        <v>402</v>
      </c>
      <c r="J41" s="376">
        <v>5</v>
      </c>
      <c r="K41" s="258" t="str">
        <f t="shared" si="11"/>
        <v>24</v>
      </c>
      <c r="L41" s="258">
        <f>IF(H41="Catastrophic",1,IF(H41="High",2,IF(H41="Medium",3,4)))</f>
        <v>3</v>
      </c>
      <c r="M41" s="258">
        <f t="shared" si="10"/>
        <v>1</v>
      </c>
      <c r="N41" s="258" t="str">
        <f>"INSERT INTO [dbo].[GoldenRuleStreamliningAttributes]
           ([ID], [Impact]
           ,[Likelihood]
           ,[Difficulty]
           ,[ModifiedTime]
           ,[ModifiedByUserId])
     VALUES
           (" &amp; K41 &amp;","&amp;L41&amp;","&amp;M41&amp;","&amp;J41&amp;",getdate(),CURRENT_USER)"</f>
        <v>INSERT INTO [dbo].[GoldenRuleStreamliningAttributes]
           ([ID], [Impact]
           ,[Likelihood]
           ,[Difficulty]
           ,[ModifiedTime]
           ,[ModifiedByUserId])
     VALUES
           (24,3,1,5,getdate(),CURRENT_USER)</v>
      </c>
    </row>
    <row r="42" spans="1:14" ht="24.75" customHeight="1" x14ac:dyDescent="0.25">
      <c r="A42" s="376" t="str">
        <f>'7. Modular'!A1</f>
        <v>P:2</v>
      </c>
      <c r="B42" s="260">
        <f>'7. Modular'!C1</f>
        <v>7</v>
      </c>
      <c r="C42" s="382" t="str">
        <f>'7. Modular'!D1</f>
        <v>Modular</v>
      </c>
      <c r="D42" s="383">
        <f>'7. Modular'!E2</f>
        <v>0</v>
      </c>
      <c r="E42" s="388" t="str">
        <f>'7. Modular'!F2</f>
        <v>EA Summary Comments</v>
      </c>
      <c r="F42" s="445"/>
      <c r="G42" s="214" t="str">
        <f t="shared" si="8"/>
        <v/>
      </c>
      <c r="H42" s="214"/>
      <c r="I42" s="214"/>
      <c r="J42" s="376"/>
      <c r="M42" s="258">
        <f t="shared" si="10"/>
        <v>3</v>
      </c>
    </row>
    <row r="43" spans="1:14" ht="24.75" customHeight="1" x14ac:dyDescent="0.25">
      <c r="A43" s="376" t="str">
        <f>'7. Modular'!A5</f>
        <v>GR:57</v>
      </c>
      <c r="B43" s="259" t="str">
        <f>'7. Modular'!C5</f>
        <v>7.1</v>
      </c>
      <c r="C43" s="378" t="str">
        <f>'7. Modular'!D5</f>
        <v>Assets must expose and consume only well-defined External Interfaces.</v>
      </c>
      <c r="D43" s="383">
        <f>'7. Modular'!E6</f>
        <v>0</v>
      </c>
      <c r="E43" s="389" t="str">
        <f>'7. Modular'!F6</f>
        <v>EA Summary Comments</v>
      </c>
      <c r="F43" s="446"/>
      <c r="G43" s="214" t="str">
        <f t="shared" si="8"/>
        <v>Sev1</v>
      </c>
      <c r="H43" s="214" t="s">
        <v>402</v>
      </c>
      <c r="I43" s="214" t="s">
        <v>402</v>
      </c>
      <c r="J43" s="376">
        <v>3</v>
      </c>
      <c r="K43" s="258" t="str">
        <f t="shared" ref="K43:K47" si="12">MID(A43,FIND(":",A43)+1,4)</f>
        <v>57</v>
      </c>
      <c r="L43" s="258">
        <f>IF(H43="Catastrophic",1,IF(H43="High",2,IF(H43="Medium",3,4)))</f>
        <v>2</v>
      </c>
      <c r="M43" s="258">
        <f t="shared" si="10"/>
        <v>1</v>
      </c>
      <c r="N43" s="258" t="str">
        <f>"INSERT INTO [dbo].[GoldenRuleStreamliningAttributes]
           ([ID], [Impact]
           ,[Likelihood]
           ,[Difficulty]
           ,[ModifiedTime]
           ,[ModifiedByUserId])
     VALUES
           (" &amp; K43 &amp;","&amp;L43&amp;","&amp;M43&amp;","&amp;J43&amp;",getdate(),CURRENT_USER)"</f>
        <v>INSERT INTO [dbo].[GoldenRuleStreamliningAttributes]
           ([ID], [Impact]
           ,[Likelihood]
           ,[Difficulty]
           ,[ModifiedTime]
           ,[ModifiedByUserId])
     VALUES
           (57,2,1,3,getdate(),CURRENT_USER)</v>
      </c>
    </row>
    <row r="44" spans="1:14" ht="24.75" customHeight="1" x14ac:dyDescent="0.25">
      <c r="A44" s="376" t="str">
        <f>'7. Modular'!A11</f>
        <v>GR:58</v>
      </c>
      <c r="B44" s="259" t="str">
        <f>'7. Modular'!C11</f>
        <v>7.2</v>
      </c>
      <c r="C44" s="378" t="str">
        <f>'7. Modular'!D11</f>
        <v>External Interfaces must be versioned and well managed.</v>
      </c>
      <c r="D44" s="383">
        <f>'7. Modular'!E12</f>
        <v>0</v>
      </c>
      <c r="E44" s="389" t="str">
        <f>'7. Modular'!F12</f>
        <v>EA Summary Comments</v>
      </c>
      <c r="F44" s="446"/>
      <c r="G44" s="214" t="str">
        <f t="shared" si="8"/>
        <v>Sev1</v>
      </c>
      <c r="H44" s="214" t="s">
        <v>402</v>
      </c>
      <c r="I44" s="214" t="s">
        <v>402</v>
      </c>
      <c r="J44" s="376">
        <v>4</v>
      </c>
      <c r="K44" s="258" t="str">
        <f t="shared" si="12"/>
        <v>58</v>
      </c>
      <c r="L44" s="258">
        <f>IF(H44="Catastrophic",1,IF(H44="High",2,IF(H44="Medium",3,4)))</f>
        <v>2</v>
      </c>
      <c r="M44" s="258">
        <f t="shared" si="10"/>
        <v>1</v>
      </c>
      <c r="N44" s="258" t="str">
        <f>"INSERT INTO [dbo].[GoldenRuleStreamliningAttributes]
           ([ID], [Impact]
           ,[Likelihood]
           ,[Difficulty]
           ,[ModifiedTime]
           ,[ModifiedByUserId])
     VALUES
           (" &amp; K44 &amp;","&amp;L44&amp;","&amp;M44&amp;","&amp;J44&amp;",getdate(),CURRENT_USER)"</f>
        <v>INSERT INTO [dbo].[GoldenRuleStreamliningAttributes]
           ([ID], [Impact]
           ,[Likelihood]
           ,[Difficulty]
           ,[ModifiedTime]
           ,[ModifiedByUserId])
     VALUES
           (58,2,1,4,getdate(),CURRENT_USER)</v>
      </c>
    </row>
    <row r="45" spans="1:14" ht="24.75" customHeight="1" x14ac:dyDescent="0.25">
      <c r="A45" s="376" t="str">
        <f>'7. Modular'!A17</f>
        <v>GR:1151</v>
      </c>
      <c r="B45" s="259" t="str">
        <f>'7. Modular'!C17</f>
        <v>7.3</v>
      </c>
      <c r="C45" s="378" t="str">
        <f>'7. Modular'!D17</f>
        <v>External Interfaces must be easily consumable.</v>
      </c>
      <c r="D45" s="383">
        <f>'7. Modular'!E18</f>
        <v>0</v>
      </c>
      <c r="E45" s="389" t="str">
        <f>'7. Modular'!F18</f>
        <v>EA Summary Comments</v>
      </c>
      <c r="F45" s="446"/>
      <c r="G45" s="214" t="str">
        <f t="shared" si="8"/>
        <v>Sev3</v>
      </c>
      <c r="H45" s="214" t="s">
        <v>401</v>
      </c>
      <c r="I45" s="214" t="s">
        <v>401</v>
      </c>
      <c r="J45" s="376">
        <v>4</v>
      </c>
      <c r="K45" s="258" t="str">
        <f t="shared" si="12"/>
        <v>1151</v>
      </c>
      <c r="L45" s="258">
        <f>IF(H45="Catastrophic",1,IF(H45="High",2,IF(H45="Medium",3,4)))</f>
        <v>3</v>
      </c>
      <c r="M45" s="258">
        <f t="shared" si="10"/>
        <v>2</v>
      </c>
      <c r="N45" s="258" t="str">
        <f>"INSERT INTO [dbo].[GoldenRuleStreamliningAttributes]
           ([ID], [Impact]
           ,[Likelihood]
           ,[Difficulty]
           ,[ModifiedTime]
           ,[ModifiedByUserId])
     VALUES
           (" &amp; K45 &amp;","&amp;L45&amp;","&amp;M45&amp;","&amp;J45&amp;",getdate(),CURRENT_USER)"</f>
        <v>INSERT INTO [dbo].[GoldenRuleStreamliningAttributes]
           ([ID], [Impact]
           ,[Likelihood]
           ,[Difficulty]
           ,[ModifiedTime]
           ,[ModifiedByUserId])
     VALUES
           (1151,3,2,4,getdate(),CURRENT_USER)</v>
      </c>
    </row>
    <row r="46" spans="1:14" ht="24.75" customHeight="1" x14ac:dyDescent="0.25">
      <c r="A46" s="394" t="str">
        <f>'7. Modular'!A22</f>
        <v>GR:1152</v>
      </c>
      <c r="B46" s="259" t="str">
        <f>'7. Modular'!C22</f>
        <v>7.4</v>
      </c>
      <c r="C46" s="378" t="str">
        <f>'7. Modular'!D22</f>
        <v>Systems must not be tightly coupled to their infrastructure / environment.</v>
      </c>
      <c r="D46" s="383">
        <f>'7. Modular'!E23</f>
        <v>0</v>
      </c>
      <c r="E46" s="389" t="str">
        <f>'7. Modular'!F23</f>
        <v>EA Summary Comments</v>
      </c>
      <c r="F46" s="446"/>
      <c r="G46" s="214" t="str">
        <f t="shared" si="8"/>
        <v>Sev1</v>
      </c>
      <c r="H46" s="214" t="s">
        <v>972</v>
      </c>
      <c r="I46" s="214" t="s">
        <v>401</v>
      </c>
      <c r="J46" s="376">
        <v>3</v>
      </c>
      <c r="K46" s="258" t="str">
        <f t="shared" si="12"/>
        <v>1152</v>
      </c>
      <c r="L46" s="258">
        <f>IF(H46="Catastrophic",1,IF(H46="High",2,IF(H46="Medium",3,4)))</f>
        <v>1</v>
      </c>
      <c r="M46" s="258">
        <f t="shared" si="10"/>
        <v>2</v>
      </c>
      <c r="N46" s="258" t="str">
        <f>"INSERT INTO [dbo].[GoldenRuleStreamliningAttributes]
           ([ID], [Impact]
           ,[Likelihood]
           ,[Difficulty]
           ,[ModifiedTime]
           ,[ModifiedByUserId])
     VALUES
           (" &amp; K46 &amp;","&amp;L46&amp;","&amp;M46&amp;","&amp;J46&amp;",getdate(),CURRENT_USER)"</f>
        <v>INSERT INTO [dbo].[GoldenRuleStreamliningAttributes]
           ([ID], [Impact]
           ,[Likelihood]
           ,[Difficulty]
           ,[ModifiedTime]
           ,[ModifiedByUserId])
     VALUES
           (1152,1,2,3,getdate(),CURRENT_USER)</v>
      </c>
    </row>
    <row r="47" spans="1:14" ht="24.75" customHeight="1" x14ac:dyDescent="0.25">
      <c r="A47" s="376" t="str">
        <f>'7. Modular'!A26</f>
        <v>GR:60</v>
      </c>
      <c r="B47" s="259" t="str">
        <f>'7. Modular'!C26</f>
        <v>7.5</v>
      </c>
      <c r="C47" s="378" t="str">
        <f>'7. Modular'!D26</f>
        <v>External Interfaces must not be tightly coupled to implementation details.</v>
      </c>
      <c r="D47" s="383">
        <f>'7. Modular'!E27</f>
        <v>0</v>
      </c>
      <c r="E47" s="389" t="str">
        <f>'7. Modular'!F27</f>
        <v>EA Summary Comments</v>
      </c>
      <c r="F47" s="446"/>
      <c r="G47" s="214" t="str">
        <f t="shared" si="8"/>
        <v>Sev3</v>
      </c>
      <c r="H47" s="214" t="s">
        <v>401</v>
      </c>
      <c r="I47" s="214" t="s">
        <v>401</v>
      </c>
      <c r="J47" s="376">
        <v>4</v>
      </c>
      <c r="K47" s="258" t="str">
        <f t="shared" si="12"/>
        <v>60</v>
      </c>
      <c r="L47" s="258">
        <f>IF(H47="Catastrophic",1,IF(H47="High",2,IF(H47="Medium",3,4)))</f>
        <v>3</v>
      </c>
      <c r="M47" s="258">
        <f t="shared" si="10"/>
        <v>2</v>
      </c>
      <c r="N47" s="258" t="str">
        <f>"INSERT INTO [dbo].[GoldenRuleStreamliningAttributes]
           ([ID], [Impact]
           ,[Likelihood]
           ,[Difficulty]
           ,[ModifiedTime]
           ,[ModifiedByUserId])
     VALUES
           (" &amp; K47 &amp;","&amp;L47&amp;","&amp;M47&amp;","&amp;J47&amp;",getdate(),CURRENT_USER)"</f>
        <v>INSERT INTO [dbo].[GoldenRuleStreamliningAttributes]
           ([ID], [Impact]
           ,[Likelihood]
           ,[Difficulty]
           ,[ModifiedTime]
           ,[ModifiedByUserId])
     VALUES
           (60,3,2,4,getdate(),CURRENT_USER)</v>
      </c>
    </row>
    <row r="48" spans="1:14" ht="24.75" customHeight="1" x14ac:dyDescent="0.25">
      <c r="A48" s="376" t="str">
        <f>'8. Maintainable'!A1</f>
        <v>P:11</v>
      </c>
      <c r="B48" s="260">
        <f>'8. Maintainable'!C1</f>
        <v>8</v>
      </c>
      <c r="C48" s="393" t="str">
        <f>'8. Maintainable'!D1</f>
        <v>Maintainable</v>
      </c>
      <c r="D48" s="383">
        <f>'8. Maintainable'!E2</f>
        <v>0</v>
      </c>
      <c r="E48" s="384" t="str">
        <f>'8. Maintainable'!F2</f>
        <v>EA Summary Comments</v>
      </c>
      <c r="F48" s="443"/>
      <c r="G48" s="214" t="str">
        <f t="shared" si="8"/>
        <v/>
      </c>
      <c r="H48" s="214"/>
      <c r="I48" s="214"/>
      <c r="J48" s="376"/>
      <c r="M48" s="258">
        <f t="shared" si="10"/>
        <v>3</v>
      </c>
    </row>
    <row r="49" spans="1:14" ht="24.75" customHeight="1" x14ac:dyDescent="0.25">
      <c r="A49" s="376" t="str">
        <f>'8. Maintainable'!A5</f>
        <v>GR:53</v>
      </c>
      <c r="B49" s="259" t="str">
        <f>'8. Maintainable'!C5</f>
        <v>8.1</v>
      </c>
      <c r="C49" s="390" t="str">
        <f>'8. Maintainable'!D5</f>
        <v>An interface must be callable directly not require a proprietary library.</v>
      </c>
      <c r="D49" s="383">
        <f>'8. Maintainable'!E6</f>
        <v>0</v>
      </c>
      <c r="E49" s="389" t="str">
        <f>'8. Maintainable'!F6</f>
        <v>EA Summary Comments</v>
      </c>
      <c r="F49" s="446"/>
      <c r="G49" s="214" t="str">
        <f t="shared" si="8"/>
        <v>Sev3</v>
      </c>
      <c r="H49" s="214" t="s">
        <v>401</v>
      </c>
      <c r="I49" s="214" t="s">
        <v>401</v>
      </c>
      <c r="J49" s="376">
        <v>3</v>
      </c>
      <c r="K49" s="258" t="str">
        <f t="shared" ref="K49:K51" si="13">MID(A49,FIND(":",A49)+1,4)</f>
        <v>53</v>
      </c>
      <c r="L49" s="258">
        <f>IF(H49="Catastrophic",1,IF(H49="High",2,IF(H49="Medium",3,4)))</f>
        <v>3</v>
      </c>
      <c r="M49" s="258">
        <f t="shared" si="10"/>
        <v>2</v>
      </c>
      <c r="N49" s="258" t="str">
        <f>"INSERT INTO [dbo].[GoldenRuleStreamliningAttributes]
           ([ID], [Impact]
           ,[Likelihood]
           ,[Difficulty]
           ,[ModifiedTime]
           ,[ModifiedByUserId])
     VALUES
           (" &amp; K49 &amp;","&amp;L49&amp;","&amp;M49&amp;","&amp;J49&amp;",getdate(),CURRENT_USER)"</f>
        <v>INSERT INTO [dbo].[GoldenRuleStreamliningAttributes]
           ([ID], [Impact]
           ,[Likelihood]
           ,[Difficulty]
           ,[ModifiedTime]
           ,[ModifiedByUserId])
     VALUES
           (53,3,2,3,getdate(),CURRENT_USER)</v>
      </c>
    </row>
    <row r="50" spans="1:14" ht="24.75" customHeight="1" x14ac:dyDescent="0.25">
      <c r="A50" s="376" t="str">
        <f>'8. Maintainable'!A8</f>
        <v>GR:54</v>
      </c>
      <c r="B50" s="259" t="str">
        <f>'8. Maintainable'!C8</f>
        <v>8.2</v>
      </c>
      <c r="C50" s="390" t="str">
        <f>'8. Maintainable'!D8</f>
        <v>Requests must be traceable from point of entry through all intermediaries.</v>
      </c>
      <c r="D50" s="383">
        <f>'8. Maintainable'!E9</f>
        <v>0</v>
      </c>
      <c r="E50" s="389" t="str">
        <f>'8. Maintainable'!F9</f>
        <v>EA Summary Comments</v>
      </c>
      <c r="F50" s="446"/>
      <c r="G50" s="214" t="str">
        <f t="shared" si="8"/>
        <v>Sev2</v>
      </c>
      <c r="H50" s="214" t="s">
        <v>401</v>
      </c>
      <c r="I50" s="214" t="s">
        <v>402</v>
      </c>
      <c r="J50" s="376">
        <v>5</v>
      </c>
      <c r="K50" s="258" t="str">
        <f t="shared" si="13"/>
        <v>54</v>
      </c>
      <c r="L50" s="258">
        <f>IF(H50="Catastrophic",1,IF(H50="High",2,IF(H50="Medium",3,4)))</f>
        <v>3</v>
      </c>
      <c r="M50" s="258">
        <f t="shared" si="10"/>
        <v>1</v>
      </c>
      <c r="N50" s="258" t="str">
        <f>"INSERT INTO [dbo].[GoldenRuleStreamliningAttributes]
           ([ID], [Impact]
           ,[Likelihood]
           ,[Difficulty]
           ,[ModifiedTime]
           ,[ModifiedByUserId])
     VALUES
           (" &amp; K50 &amp;","&amp;L50&amp;","&amp;M50&amp;","&amp;J50&amp;",getdate(),CURRENT_USER)"</f>
        <v>INSERT INTO [dbo].[GoldenRuleStreamliningAttributes]
           ([ID], [Impact]
           ,[Likelihood]
           ,[Difficulty]
           ,[ModifiedTime]
           ,[ModifiedByUserId])
     VALUES
           (54,3,1,5,getdate(),CURRENT_USER)</v>
      </c>
    </row>
    <row r="51" spans="1:14" ht="24.75" customHeight="1" x14ac:dyDescent="0.25">
      <c r="A51" s="376" t="str">
        <f>'8. Maintainable'!A12</f>
        <v>GR:55</v>
      </c>
      <c r="B51" s="259" t="str">
        <f>'8. Maintainable'!C12</f>
        <v>8.3</v>
      </c>
      <c r="C51" s="390" t="str">
        <f>'8. Maintainable'!D12</f>
        <v>Code, Schemas, and APIs must be appropriately documented and commented.</v>
      </c>
      <c r="D51" s="383">
        <f>'8. Maintainable'!E13</f>
        <v>0</v>
      </c>
      <c r="E51" s="389" t="str">
        <f>'8. Maintainable'!F13</f>
        <v>EA Summary Comments</v>
      </c>
      <c r="F51" s="446"/>
      <c r="G51" s="214" t="str">
        <f t="shared" si="8"/>
        <v>Sev2</v>
      </c>
      <c r="H51" s="214" t="s">
        <v>401</v>
      </c>
      <c r="I51" s="214" t="s">
        <v>402</v>
      </c>
      <c r="J51" s="376">
        <v>4</v>
      </c>
      <c r="K51" s="258" t="str">
        <f t="shared" si="13"/>
        <v>55</v>
      </c>
      <c r="L51" s="258">
        <f>IF(H51="Catastrophic",1,IF(H51="High",2,IF(H51="Medium",3,4)))</f>
        <v>3</v>
      </c>
      <c r="M51" s="258">
        <f t="shared" si="10"/>
        <v>1</v>
      </c>
      <c r="N51" s="258" t="str">
        <f>"INSERT INTO [dbo].[GoldenRuleStreamliningAttributes]
           ([ID], [Impact]
           ,[Likelihood]
           ,[Difficulty]
           ,[ModifiedTime]
           ,[ModifiedByUserId])
     VALUES
           (" &amp; K51 &amp;","&amp;L51&amp;","&amp;M51&amp;","&amp;J51&amp;",getdate(),CURRENT_USER)"</f>
        <v>INSERT INTO [dbo].[GoldenRuleStreamliningAttributes]
           ([ID], [Impact]
           ,[Likelihood]
           ,[Difficulty]
           ,[ModifiedTime]
           ,[ModifiedByUserId])
     VALUES
           (55,3,1,4,getdate(),CURRENT_USER)</v>
      </c>
    </row>
    <row r="52" spans="1:14" ht="24.75" customHeight="1" x14ac:dyDescent="0.25">
      <c r="A52" s="376" t="str">
        <f>'9. Managed Data'!A1</f>
        <v>P:1</v>
      </c>
      <c r="B52" s="381">
        <f>'9. Managed Data'!C1</f>
        <v>9</v>
      </c>
      <c r="C52" s="382" t="str">
        <f>'9. Managed Data'!D1</f>
        <v>Managed Data</v>
      </c>
      <c r="D52" s="383">
        <f>'9. Managed Data'!E2</f>
        <v>0</v>
      </c>
      <c r="E52" s="384" t="str">
        <f>'9. Managed Data'!F2</f>
        <v>EA Summary Comments</v>
      </c>
      <c r="F52" s="443"/>
      <c r="G52" s="376"/>
      <c r="H52" s="376"/>
      <c r="I52" s="376"/>
      <c r="J52" s="376"/>
      <c r="N52" s="441" t="s">
        <v>1127</v>
      </c>
    </row>
    <row r="53" spans="1:14" ht="24.75" customHeight="1" x14ac:dyDescent="0.25">
      <c r="A53" s="394" t="str">
        <f>'9. Managed Data'!A5</f>
        <v>GR:1146</v>
      </c>
      <c r="B53" s="385" t="str">
        <f>'9. Managed Data'!C5</f>
        <v>9.1</v>
      </c>
      <c r="C53" s="386" t="str">
        <f>'9. Managed Data'!D5</f>
        <v>Data Assets and their system host must be registered.</v>
      </c>
      <c r="D53" s="435">
        <f>'9. Managed Data'!E6</f>
        <v>0</v>
      </c>
      <c r="E53" s="387" t="str">
        <f>'9. Managed Data'!F6</f>
        <v>EA Summary Comments</v>
      </c>
      <c r="F53" s="444"/>
      <c r="G53" s="214" t="str">
        <f t="shared" ref="G53:G57" si="14">IF(H53="Catastrophic","Sev1",IF(H53="High",IF(I53="High","Sev1",IF(I53="Medium","Sev2",IF(I53="Low","Sev3",""))),IF(H53="Medium",IF(I53="High","Sev2",IF(I53="Medium","Sev3",IF(I53="Low","Sev4"))),IF(H53="Low",IF(I53="High","Sev3",IF(I53="Medium","Sev4",IF(I53="Low","Guidance",""))),""))))</f>
        <v>Sev1</v>
      </c>
      <c r="H53" s="214" t="s">
        <v>972</v>
      </c>
      <c r="I53" s="214" t="s">
        <v>400</v>
      </c>
      <c r="J53" s="376">
        <v>3</v>
      </c>
      <c r="K53" s="258" t="str">
        <f>MID(A53,FIND(":",A53)+1,4)</f>
        <v>1146</v>
      </c>
      <c r="L53" s="258">
        <f>IF(H53="Catastrophic",1,IF(H53="High",2,IF(H53="Medium",3,4)))</f>
        <v>1</v>
      </c>
      <c r="M53" s="258">
        <f>IF(I53="High",1,IF(I53="Medium",2,3))</f>
        <v>3</v>
      </c>
      <c r="N53" s="258" t="str">
        <f>"INSERT INTO [dbo].[GoldenRuleStreamliningAttributes]
           ([ID], [Impact]
           ,[Likelihood]
           ,[Difficulty]
           ,[ModifiedTime]
           ,[ModifiedByUserId])
     VALUES
           (" &amp; K53 &amp;","&amp;L53&amp;","&amp;M53&amp;","&amp;J53&amp;",getdate(),CURRENT_USER)"</f>
        <v>INSERT INTO [dbo].[GoldenRuleStreamliningAttributes]
           ([ID], [Impact]
           ,[Likelihood]
           ,[Difficulty]
           ,[ModifiedTime]
           ,[ModifiedByUserId])
     VALUES
           (1146,1,3,3,getdate(),CURRENT_USER)</v>
      </c>
    </row>
    <row r="54" spans="1:14" ht="24.75" customHeight="1" x14ac:dyDescent="0.25">
      <c r="A54" s="376" t="str">
        <f>'9. Managed Data'!A9</f>
        <v>GR:1147</v>
      </c>
      <c r="B54" s="385" t="str">
        <f>'9. Managed Data'!C9</f>
        <v>9.2</v>
      </c>
      <c r="C54" s="386" t="str">
        <f>'9. Managed Data'!D9</f>
        <v>Data Must be of high quality.</v>
      </c>
      <c r="D54" s="383">
        <f>'9. Managed Data'!E10</f>
        <v>0</v>
      </c>
      <c r="E54" s="387" t="str">
        <f>'9. Managed Data'!F10</f>
        <v>EA Summary Comments</v>
      </c>
      <c r="F54" s="444"/>
      <c r="G54" s="214" t="str">
        <f t="shared" si="14"/>
        <v>Sev1</v>
      </c>
      <c r="H54" s="214" t="s">
        <v>402</v>
      </c>
      <c r="I54" s="214" t="s">
        <v>402</v>
      </c>
      <c r="J54" s="376">
        <v>4</v>
      </c>
      <c r="K54" s="258" t="str">
        <f t="shared" ref="K54:K57" si="15">MID(A54,FIND(":",A54)+1,4)</f>
        <v>1147</v>
      </c>
      <c r="L54" s="258">
        <f t="shared" ref="L54:L61" si="16">IF(H54="Catastrophic",1,IF(H54="High",2,IF(H54="Medium",3,4)))</f>
        <v>2</v>
      </c>
      <c r="M54" s="258">
        <f t="shared" ref="M54:M61" si="17">IF(I54="High",1,IF(I54="Medium",2,3))</f>
        <v>1</v>
      </c>
      <c r="N54" s="258" t="str">
        <f>"INSERT INTO [dbo].[GoldenRuleStreamliningAttributes]
           ([ID], [Impact]
           ,[Likelihood]
           ,[Difficulty]
           ,[ModifiedTime]
           ,[ModifiedByUserId])
     VALUES
           (" &amp; K54 &amp;","&amp;L54&amp;","&amp;M54&amp;","&amp;J54&amp;",getdate(),CURRENT_USER)"</f>
        <v>INSERT INTO [dbo].[GoldenRuleStreamliningAttributes]
           ([ID], [Impact]
           ,[Likelihood]
           ,[Difficulty]
           ,[ModifiedTime]
           ,[ModifiedByUserId])
     VALUES
           (1147,2,1,4,getdate(),CURRENT_USER)</v>
      </c>
    </row>
    <row r="55" spans="1:14" ht="24.75" customHeight="1" x14ac:dyDescent="0.25">
      <c r="A55" s="394" t="str">
        <f>'9. Managed Data'!A16</f>
        <v>GR:1148</v>
      </c>
      <c r="B55" s="385" t="str">
        <f>'9. Managed Data'!C16</f>
        <v>9.3</v>
      </c>
      <c r="C55" s="386" t="str">
        <f>'9. Managed Data'!D16</f>
        <v>Data must be encapsulated.</v>
      </c>
      <c r="D55" s="383">
        <f>'9. Managed Data'!E17</f>
        <v>0</v>
      </c>
      <c r="E55" s="387" t="str">
        <f>'9. Managed Data'!F17</f>
        <v>EA Summary Comments</v>
      </c>
      <c r="F55" s="444"/>
      <c r="G55" s="214" t="str">
        <f t="shared" si="14"/>
        <v>Sev2</v>
      </c>
      <c r="H55" s="214" t="s">
        <v>401</v>
      </c>
      <c r="I55" s="214" t="s">
        <v>402</v>
      </c>
      <c r="J55" s="376">
        <v>4</v>
      </c>
      <c r="K55" s="258" t="str">
        <f t="shared" si="15"/>
        <v>1148</v>
      </c>
      <c r="L55" s="258">
        <f t="shared" si="16"/>
        <v>3</v>
      </c>
      <c r="M55" s="258">
        <f t="shared" si="17"/>
        <v>1</v>
      </c>
      <c r="N55" s="258" t="str">
        <f>"INSERT INTO [dbo].[GoldenRuleStreamliningAttributes]
           ([ID], [Impact]
           ,[Likelihood]
           ,[Difficulty]
           ,[ModifiedTime]
           ,[ModifiedByUserId])
     VALUES
           (" &amp; K55 &amp;","&amp;L55&amp;","&amp;M55&amp;","&amp;J55&amp;",getdate(),CURRENT_USER)"</f>
        <v>INSERT INTO [dbo].[GoldenRuleStreamliningAttributes]
           ([ID], [Impact]
           ,[Likelihood]
           ,[Difficulty]
           ,[ModifiedTime]
           ,[ModifiedByUserId])
     VALUES
           (1148,3,1,4,getdate(),CURRENT_USER)</v>
      </c>
    </row>
    <row r="56" spans="1:14" ht="24.75" customHeight="1" x14ac:dyDescent="0.25">
      <c r="A56" s="376" t="str">
        <f>'9. Managed Data'!A20</f>
        <v>GR:1149</v>
      </c>
      <c r="B56" s="385" t="str">
        <f>'9. Managed Data'!C20</f>
        <v>9.4</v>
      </c>
      <c r="C56" s="386" t="str">
        <f>'9. Managed Data'!D20</f>
        <v>Data must be traceable to its source.</v>
      </c>
      <c r="D56" s="383">
        <f>'9. Managed Data'!E21</f>
        <v>0</v>
      </c>
      <c r="E56" s="387" t="str">
        <f>'9. Managed Data'!F21</f>
        <v>EA Summary Comments</v>
      </c>
      <c r="F56" s="444"/>
      <c r="G56" s="214" t="str">
        <f t="shared" si="14"/>
        <v>Sev2</v>
      </c>
      <c r="H56" s="214" t="s">
        <v>402</v>
      </c>
      <c r="I56" s="214" t="s">
        <v>401</v>
      </c>
      <c r="J56" s="376">
        <v>2</v>
      </c>
      <c r="K56" s="258" t="str">
        <f t="shared" si="15"/>
        <v>1149</v>
      </c>
      <c r="L56" s="258">
        <f t="shared" si="16"/>
        <v>2</v>
      </c>
      <c r="M56" s="258">
        <f t="shared" si="17"/>
        <v>2</v>
      </c>
      <c r="N56" s="258" t="str">
        <f>"INSERT INTO [dbo].[GoldenRuleStreamliningAttributes]
           ([ID], [Impact]
           ,[Likelihood]
           ,[Difficulty]
           ,[ModifiedTime]
           ,[ModifiedByUserId])
     VALUES
           (" &amp; K56 &amp;","&amp;L56&amp;","&amp;M56&amp;","&amp;J56&amp;",getdate(),CURRENT_USER)"</f>
        <v>INSERT INTO [dbo].[GoldenRuleStreamliningAttributes]
           ([ID], [Impact]
           ,[Likelihood]
           ,[Difficulty]
           ,[ModifiedTime]
           ,[ModifiedByUserId])
     VALUES
           (1149,2,2,2,getdate(),CURRENT_USER)</v>
      </c>
    </row>
    <row r="57" spans="1:14" ht="24.75" customHeight="1" x14ac:dyDescent="0.25">
      <c r="A57" s="376" t="str">
        <f>'9. Managed Data'!A25</f>
        <v>GR:1150</v>
      </c>
      <c r="B57" s="385" t="str">
        <f>'9. Managed Data'!C25</f>
        <v>9.5</v>
      </c>
      <c r="C57" s="386" t="str">
        <f>'9. Managed Data'!D25</f>
        <v>Data must be validated.</v>
      </c>
      <c r="D57" s="383">
        <f>'9. Managed Data'!E26</f>
        <v>0</v>
      </c>
      <c r="E57" s="387" t="str">
        <f>'9. Managed Data'!F26</f>
        <v>EA Summary Comments</v>
      </c>
      <c r="F57" s="444"/>
      <c r="G57" s="214" t="str">
        <f t="shared" si="14"/>
        <v>Sev2</v>
      </c>
      <c r="H57" s="214" t="s">
        <v>402</v>
      </c>
      <c r="I57" s="214" t="s">
        <v>401</v>
      </c>
      <c r="J57" s="376">
        <v>3</v>
      </c>
      <c r="K57" s="258" t="str">
        <f t="shared" si="15"/>
        <v>1150</v>
      </c>
      <c r="L57" s="258">
        <f t="shared" si="16"/>
        <v>2</v>
      </c>
      <c r="M57" s="258">
        <f t="shared" si="17"/>
        <v>2</v>
      </c>
      <c r="N57" s="258" t="str">
        <f>"INSERT INTO [dbo].[GoldenRuleStreamliningAttributes]
           ([ID], [Impact]
           ,[Likelihood]
           ,[Difficulty]
           ,[ModifiedTime]
           ,[ModifiedByUserId])
     VALUES
           (" &amp; K57 &amp;","&amp;L57&amp;","&amp;M57&amp;","&amp;J57&amp;",getdate(),CURRENT_USER)"</f>
        <v>INSERT INTO [dbo].[GoldenRuleStreamliningAttributes]
           ([ID], [Impact]
           ,[Likelihood]
           ,[Difficulty]
           ,[ModifiedTime]
           ,[ModifiedByUserId])
     VALUES
           (1150,2,2,3,getdate(),CURRENT_USER)</v>
      </c>
    </row>
    <row r="58" spans="1:14" ht="24.75" customHeight="1" x14ac:dyDescent="0.25">
      <c r="A58" s="376" t="str">
        <f>'10. Global'!A1</f>
        <v>P:10</v>
      </c>
      <c r="B58" s="260">
        <f>'10. Global'!C1</f>
        <v>10</v>
      </c>
      <c r="C58" s="393" t="str">
        <f>'10. Global'!D1</f>
        <v>Global</v>
      </c>
      <c r="D58" s="383">
        <f>'10. Global'!E2</f>
        <v>0</v>
      </c>
      <c r="E58" s="388" t="str">
        <f>'10. Global'!F2</f>
        <v>EA Summary Comments</v>
      </c>
      <c r="F58" s="445"/>
      <c r="G58" s="214" t="str">
        <f t="shared" ref="G58:G61" si="18">IF(H58="Catastrophic","Sev1",IF(H58="High",IF(I58="High","Sev1",IF(I58="Medium","Sev2",IF(I58="Low","Sev3",""))),IF(H58="Medium",IF(I58="High","Sev2",IF(I58="Medium","Sev3",IF(I58="Low","Sev4"))),IF(H58="Low",IF(I58="High","Sev3",IF(I58="Medium","Sev4",IF(I58="Low","Guidance",""))),""))))</f>
        <v/>
      </c>
      <c r="H58" s="214"/>
      <c r="I58" s="214"/>
      <c r="J58" s="376"/>
      <c r="M58" s="258">
        <f t="shared" si="17"/>
        <v>3</v>
      </c>
    </row>
    <row r="59" spans="1:14" ht="24.75" customHeight="1" x14ac:dyDescent="0.25">
      <c r="A59" s="376" t="str">
        <f>'10. Global'!A5</f>
        <v>GR:49</v>
      </c>
      <c r="B59" s="259">
        <f>'10. Global'!C5</f>
        <v>10.1</v>
      </c>
      <c r="C59" s="390" t="str">
        <f>'10. Global'!D5</f>
        <v>Systems must handle data in a globalized way.</v>
      </c>
      <c r="D59" s="383">
        <f>'10. Global'!E6</f>
        <v>0</v>
      </c>
      <c r="E59" s="389" t="str">
        <f>'10. Global'!F6</f>
        <v>EA Summary Comments</v>
      </c>
      <c r="F59" s="446"/>
      <c r="G59" s="214" t="str">
        <f t="shared" si="18"/>
        <v>Sev1</v>
      </c>
      <c r="H59" s="214" t="s">
        <v>402</v>
      </c>
      <c r="I59" s="214" t="s">
        <v>402</v>
      </c>
      <c r="J59" s="376">
        <v>2</v>
      </c>
      <c r="K59" s="258" t="str">
        <f t="shared" ref="K59:K61" si="19">MID(A59,FIND(":",A59)+1,4)</f>
        <v>49</v>
      </c>
      <c r="L59" s="258">
        <f t="shared" si="16"/>
        <v>2</v>
      </c>
      <c r="M59" s="258">
        <f t="shared" si="17"/>
        <v>1</v>
      </c>
      <c r="N59" s="258" t="str">
        <f>"INSERT INTO [dbo].[GoldenRuleStreamliningAttributes]
           ([ID], [Impact]
           ,[Likelihood]
           ,[Difficulty]
           ,[ModifiedTime]
           ,[ModifiedByUserId])
     VALUES
           (" &amp; K59 &amp;","&amp;L59&amp;","&amp;M59&amp;","&amp;J59&amp;",getdate(),CURRENT_USER)"</f>
        <v>INSERT INTO [dbo].[GoldenRuleStreamliningAttributes]
           ([ID], [Impact]
           ,[Likelihood]
           ,[Difficulty]
           ,[ModifiedTime]
           ,[ModifiedByUserId])
     VALUES
           (49,2,1,2,getdate(),CURRENT_USER)</v>
      </c>
    </row>
    <row r="60" spans="1:14" ht="24.75" customHeight="1" x14ac:dyDescent="0.25">
      <c r="A60" s="376" t="str">
        <f>'10. Global'!A19</f>
        <v>GR:1162</v>
      </c>
      <c r="B60" s="259" t="str">
        <f>'10. Global'!C19</f>
        <v>10.2</v>
      </c>
      <c r="C60" s="390" t="str">
        <f>'10. Global'!D19</f>
        <v>3rd party translations must be distinguished from company translations.</v>
      </c>
      <c r="D60" s="383">
        <f>'10. Global'!E20</f>
        <v>0</v>
      </c>
      <c r="E60" s="389" t="str">
        <f>'10. Global'!F20</f>
        <v>EA Summary Comments</v>
      </c>
      <c r="F60" s="446"/>
      <c r="G60" s="214" t="str">
        <f t="shared" si="18"/>
        <v>Sev1</v>
      </c>
      <c r="H60" s="214" t="s">
        <v>972</v>
      </c>
      <c r="I60" s="214" t="s">
        <v>401</v>
      </c>
      <c r="J60" s="376">
        <v>2</v>
      </c>
      <c r="K60" s="258" t="str">
        <f t="shared" si="19"/>
        <v>1162</v>
      </c>
      <c r="L60" s="258">
        <f t="shared" si="16"/>
        <v>1</v>
      </c>
      <c r="M60" s="258">
        <f t="shared" si="17"/>
        <v>2</v>
      </c>
      <c r="N60" s="258" t="str">
        <f>"INSERT INTO [dbo].[GoldenRuleStreamliningAttributes]
           ([ID], [Impact]
           ,[Likelihood]
           ,[Difficulty]
           ,[ModifiedTime]
           ,[ModifiedByUserId])
     VALUES
           (" &amp; K60 &amp;","&amp;L60&amp;","&amp;M60&amp;","&amp;J60&amp;",getdate(),CURRENT_USER)"</f>
        <v>INSERT INTO [dbo].[GoldenRuleStreamliningAttributes]
           ([ID], [Impact]
           ,[Likelihood]
           ,[Difficulty]
           ,[ModifiedTime]
           ,[ModifiedByUserId])
     VALUES
           (1162,1,2,2,getdate(),CURRENT_USER)</v>
      </c>
    </row>
    <row r="61" spans="1:14" ht="24.75" customHeight="1" x14ac:dyDescent="0.25">
      <c r="A61" s="376" t="str">
        <f>'10. Global'!A23</f>
        <v>GR:51</v>
      </c>
      <c r="B61" s="259">
        <f>'10. Global'!C23</f>
        <v>10.3</v>
      </c>
      <c r="C61" s="390" t="str">
        <f>'10. Global'!D23</f>
        <v>Systems must to adapt to the user's preferred locale.</v>
      </c>
      <c r="D61" s="383">
        <f>'10. Global'!E24</f>
        <v>0</v>
      </c>
      <c r="E61" s="389" t="str">
        <f>'10. Global'!F24</f>
        <v>EA Summary Comments</v>
      </c>
      <c r="F61" s="446"/>
      <c r="G61" s="214" t="str">
        <f t="shared" si="18"/>
        <v>Sev1</v>
      </c>
      <c r="H61" s="214" t="s">
        <v>402</v>
      </c>
      <c r="I61" s="214" t="s">
        <v>402</v>
      </c>
      <c r="J61" s="376">
        <v>3</v>
      </c>
      <c r="K61" s="258" t="str">
        <f t="shared" si="19"/>
        <v>51</v>
      </c>
      <c r="L61" s="258">
        <f t="shared" si="16"/>
        <v>2</v>
      </c>
      <c r="M61" s="258">
        <f t="shared" si="17"/>
        <v>1</v>
      </c>
      <c r="N61" s="258" t="str">
        <f>"INSERT INTO [dbo].[GoldenRuleStreamliningAttributes]
           ([ID], [Impact]
           ,[Likelihood]
           ,[Difficulty]
           ,[ModifiedTime]
           ,[ModifiedByUserId])
     VALUES
           (" &amp; K61 &amp;","&amp;L61&amp;","&amp;M61&amp;","&amp;J61&amp;",getdate(),CURRENT_USER)"</f>
        <v>INSERT INTO [dbo].[GoldenRuleStreamliningAttributes]
           ([ID], [Impact]
           ,[Likelihood]
           ,[Difficulty]
           ,[ModifiedTime]
           ,[ModifiedByUserId])
     VALUES
           (51,2,1,3,getdate(),CURRENT_USER)</v>
      </c>
    </row>
  </sheetData>
  <sheetProtection formatColumns="0" formatRows="0"/>
  <mergeCells count="1">
    <mergeCell ref="B1:E1"/>
  </mergeCells>
  <phoneticPr fontId="2" type="noConversion"/>
  <conditionalFormatting sqref="D42 D39:D40 D7:D17 D19 D3:D4 D58:D59 D23:D37 D52 D61 D48">
    <cfRule type="expression" dxfId="433" priority="91" stopIfTrue="1">
      <formula>EXACT(D3,"WVR")</formula>
    </cfRule>
    <cfRule type="expression" dxfId="432" priority="92" stopIfTrue="1">
      <formula>EXACT(D3,"N/A")</formula>
    </cfRule>
    <cfRule type="expression" dxfId="431" priority="93" stopIfTrue="1">
      <formula>EXACT(D3,"R")</formula>
    </cfRule>
    <cfRule type="expression" dxfId="430" priority="94" stopIfTrue="1">
      <formula>EXACT(D3,"Y")</formula>
    </cfRule>
    <cfRule type="expression" dxfId="429" priority="95" stopIfTrue="1">
      <formula>EXACT(D3,"G")</formula>
    </cfRule>
  </conditionalFormatting>
  <conditionalFormatting sqref="D49:D51">
    <cfRule type="expression" dxfId="428" priority="66" stopIfTrue="1">
      <formula>EXACT(D49,"WVR")</formula>
    </cfRule>
    <cfRule type="expression" dxfId="427" priority="67" stopIfTrue="1">
      <formula>EXACT(D49,"N/A")</formula>
    </cfRule>
    <cfRule type="expression" dxfId="426" priority="68" stopIfTrue="1">
      <formula>EXACT(D49,"R")</formula>
    </cfRule>
    <cfRule type="expression" dxfId="425" priority="69" stopIfTrue="1">
      <formula>EXACT(D49,"Y")</formula>
    </cfRule>
    <cfRule type="expression" dxfId="424" priority="70" stopIfTrue="1">
      <formula>EXACT(D49,"G")</formula>
    </cfRule>
  </conditionalFormatting>
  <conditionalFormatting sqref="D53:D57">
    <cfRule type="expression" dxfId="423" priority="76" stopIfTrue="1">
      <formula>EXACT(D53,"WVR")</formula>
    </cfRule>
    <cfRule type="expression" dxfId="422" priority="77" stopIfTrue="1">
      <formula>EXACT(D53,"N/A")</formula>
    </cfRule>
    <cfRule type="expression" dxfId="421" priority="78" stopIfTrue="1">
      <formula>EXACT(D53,"R")</formula>
    </cfRule>
    <cfRule type="expression" dxfId="420" priority="79" stopIfTrue="1">
      <formula>EXACT(D53,"Y")</formula>
    </cfRule>
    <cfRule type="expression" dxfId="419" priority="80" stopIfTrue="1">
      <formula>EXACT(D53,"G")</formula>
    </cfRule>
  </conditionalFormatting>
  <conditionalFormatting sqref="D43:D45 D47">
    <cfRule type="expression" dxfId="418" priority="71" stopIfTrue="1">
      <formula>EXACT(D43,"WVR")</formula>
    </cfRule>
    <cfRule type="expression" dxfId="417" priority="72" stopIfTrue="1">
      <formula>EXACT(D43,"N/A")</formula>
    </cfRule>
    <cfRule type="expression" dxfId="416" priority="73" stopIfTrue="1">
      <formula>EXACT(D43,"R")</formula>
    </cfRule>
    <cfRule type="expression" dxfId="415" priority="74" stopIfTrue="1">
      <formula>EXACT(D43,"Y")</formula>
    </cfRule>
    <cfRule type="expression" dxfId="414" priority="75" stopIfTrue="1">
      <formula>EXACT(D43,"G")</formula>
    </cfRule>
  </conditionalFormatting>
  <conditionalFormatting sqref="D38">
    <cfRule type="expression" dxfId="413" priority="56" stopIfTrue="1">
      <formula>EXACT(D38,"WVR")</formula>
    </cfRule>
    <cfRule type="expression" dxfId="412" priority="57" stopIfTrue="1">
      <formula>EXACT(D38,"N/A")</formula>
    </cfRule>
    <cfRule type="expression" dxfId="411" priority="58" stopIfTrue="1">
      <formula>EXACT(D38,"R")</formula>
    </cfRule>
    <cfRule type="expression" dxfId="410" priority="59" stopIfTrue="1">
      <formula>EXACT(D38,"Y")</formula>
    </cfRule>
    <cfRule type="expression" dxfId="409" priority="60" stopIfTrue="1">
      <formula>EXACT(D38,"G")</formula>
    </cfRule>
  </conditionalFormatting>
  <conditionalFormatting sqref="D46">
    <cfRule type="expression" dxfId="408" priority="46" stopIfTrue="1">
      <formula>EXACT(D46,"WVR")</formula>
    </cfRule>
    <cfRule type="expression" dxfId="407" priority="47" stopIfTrue="1">
      <formula>EXACT(D46,"N/A")</formula>
    </cfRule>
    <cfRule type="expression" dxfId="406" priority="48" stopIfTrue="1">
      <formula>EXACT(D46,"R")</formula>
    </cfRule>
    <cfRule type="expression" dxfId="405" priority="49" stopIfTrue="1">
      <formula>EXACT(D46,"Y")</formula>
    </cfRule>
    <cfRule type="expression" dxfId="404" priority="50" stopIfTrue="1">
      <formula>EXACT(D46,"G")</formula>
    </cfRule>
  </conditionalFormatting>
  <conditionalFormatting sqref="D41">
    <cfRule type="expression" dxfId="403" priority="41" stopIfTrue="1">
      <formula>EXACT(D41,"WVR")</formula>
    </cfRule>
    <cfRule type="expression" dxfId="402" priority="42" stopIfTrue="1">
      <formula>EXACT(D41,"N/A")</formula>
    </cfRule>
    <cfRule type="expression" dxfId="401" priority="43" stopIfTrue="1">
      <formula>EXACT(D41,"R")</formula>
    </cfRule>
    <cfRule type="expression" dxfId="400" priority="44" stopIfTrue="1">
      <formula>EXACT(D41,"Y")</formula>
    </cfRule>
    <cfRule type="expression" dxfId="399" priority="45" stopIfTrue="1">
      <formula>EXACT(D41,"G")</formula>
    </cfRule>
  </conditionalFormatting>
  <conditionalFormatting sqref="D5">
    <cfRule type="expression" dxfId="398" priority="36" stopIfTrue="1">
      <formula>EXACT(D5,"WVR")</formula>
    </cfRule>
    <cfRule type="expression" dxfId="397" priority="37" stopIfTrue="1">
      <formula>EXACT(D5,"N/A")</formula>
    </cfRule>
    <cfRule type="expression" dxfId="396" priority="38" stopIfTrue="1">
      <formula>EXACT(D5,"R")</formula>
    </cfRule>
    <cfRule type="expression" dxfId="395" priority="39" stopIfTrue="1">
      <formula>EXACT(D5,"Y")</formula>
    </cfRule>
    <cfRule type="expression" dxfId="394" priority="40" stopIfTrue="1">
      <formula>EXACT(D5,"G")</formula>
    </cfRule>
  </conditionalFormatting>
  <conditionalFormatting sqref="D6">
    <cfRule type="expression" dxfId="393" priority="31" stopIfTrue="1">
      <formula>EXACT(D6,"WVR")</formula>
    </cfRule>
    <cfRule type="expression" dxfId="392" priority="32" stopIfTrue="1">
      <formula>EXACT(D6,"N/A")</formula>
    </cfRule>
    <cfRule type="expression" dxfId="391" priority="33" stopIfTrue="1">
      <formula>EXACT(D6,"R")</formula>
    </cfRule>
    <cfRule type="expression" dxfId="390" priority="34" stopIfTrue="1">
      <formula>EXACT(D6,"Y")</formula>
    </cfRule>
    <cfRule type="expression" dxfId="389" priority="35" stopIfTrue="1">
      <formula>EXACT(D6,"G")</formula>
    </cfRule>
  </conditionalFormatting>
  <conditionalFormatting sqref="D18">
    <cfRule type="expression" dxfId="388" priority="26" stopIfTrue="1">
      <formula>EXACT(D18,"WVR")</formula>
    </cfRule>
    <cfRule type="expression" dxfId="387" priority="27" stopIfTrue="1">
      <formula>EXACT(D18,"N/A")</formula>
    </cfRule>
    <cfRule type="expression" dxfId="386" priority="28" stopIfTrue="1">
      <formula>EXACT(D18,"R")</formula>
    </cfRule>
    <cfRule type="expression" dxfId="385" priority="29" stopIfTrue="1">
      <formula>EXACT(D18,"Y")</formula>
    </cfRule>
    <cfRule type="expression" dxfId="384" priority="30" stopIfTrue="1">
      <formula>EXACT(D18,"G")</formula>
    </cfRule>
  </conditionalFormatting>
  <conditionalFormatting sqref="D21">
    <cfRule type="expression" dxfId="383" priority="21" stopIfTrue="1">
      <formula>EXACT(D21,"WVR")</formula>
    </cfRule>
    <cfRule type="expression" dxfId="382" priority="22" stopIfTrue="1">
      <formula>EXACT(D21,"N/A")</formula>
    </cfRule>
    <cfRule type="expression" dxfId="381" priority="23" stopIfTrue="1">
      <formula>EXACT(D21,"R")</formula>
    </cfRule>
    <cfRule type="expression" dxfId="380" priority="24" stopIfTrue="1">
      <formula>EXACT(D21,"Y")</formula>
    </cfRule>
    <cfRule type="expression" dxfId="379" priority="25" stopIfTrue="1">
      <formula>EXACT(D21,"G")</formula>
    </cfRule>
  </conditionalFormatting>
  <conditionalFormatting sqref="D22">
    <cfRule type="expression" dxfId="378" priority="16" stopIfTrue="1">
      <formula>EXACT(D22,"WVR")</formula>
    </cfRule>
    <cfRule type="expression" dxfId="377" priority="17" stopIfTrue="1">
      <formula>EXACT(D22,"N/A")</formula>
    </cfRule>
    <cfRule type="expression" dxfId="376" priority="18" stopIfTrue="1">
      <formula>EXACT(D22,"R")</formula>
    </cfRule>
    <cfRule type="expression" dxfId="375" priority="19" stopIfTrue="1">
      <formula>EXACT(D22,"Y")</formula>
    </cfRule>
    <cfRule type="expression" dxfId="374" priority="20" stopIfTrue="1">
      <formula>EXACT(D22,"G")</formula>
    </cfRule>
  </conditionalFormatting>
  <conditionalFormatting sqref="D20">
    <cfRule type="expression" dxfId="373" priority="11" stopIfTrue="1">
      <formula>EXACT(D20,"WVR")</formula>
    </cfRule>
    <cfRule type="expression" dxfId="372" priority="12" stopIfTrue="1">
      <formula>EXACT(D20,"N/A")</formula>
    </cfRule>
    <cfRule type="expression" dxfId="371" priority="13" stopIfTrue="1">
      <formula>EXACT(D20,"R")</formula>
    </cfRule>
    <cfRule type="expression" dxfId="370" priority="14" stopIfTrue="1">
      <formula>EXACT(D20,"Y")</formula>
    </cfRule>
    <cfRule type="expression" dxfId="369" priority="15" stopIfTrue="1">
      <formula>EXACT(D20,"G")</formula>
    </cfRule>
  </conditionalFormatting>
  <conditionalFormatting sqref="D60">
    <cfRule type="expression" dxfId="368" priority="6" stopIfTrue="1">
      <formula>EXACT(D60,"WVR")</formula>
    </cfRule>
    <cfRule type="expression" dxfId="367" priority="7" stopIfTrue="1">
      <formula>EXACT(D60,"N/A")</formula>
    </cfRule>
    <cfRule type="expression" dxfId="366" priority="8" stopIfTrue="1">
      <formula>EXACT(D60,"R")</formula>
    </cfRule>
    <cfRule type="expression" dxfId="365" priority="9" stopIfTrue="1">
      <formula>EXACT(D60,"Y")</formula>
    </cfRule>
    <cfRule type="expression" dxfId="364" priority="10" stopIfTrue="1">
      <formula>EXACT(D60,"G")</formula>
    </cfRule>
  </conditionalFormatting>
  <conditionalFormatting sqref="G53:G61 G3:G51">
    <cfRule type="cellIs" dxfId="363" priority="1" operator="equal">
      <formula>"Guidance"</formula>
    </cfRule>
    <cfRule type="cellIs" dxfId="362" priority="2" operator="equal">
      <formula>"Sev4"</formula>
    </cfRule>
    <cfRule type="cellIs" dxfId="361" priority="3" operator="equal">
      <formula>"Sev3"</formula>
    </cfRule>
    <cfRule type="cellIs" dxfId="360" priority="4" operator="equal">
      <formula>"Sev2"</formula>
    </cfRule>
    <cfRule type="cellIs" dxfId="359" priority="5" operator="equal">
      <formula>"Sev1"</formula>
    </cfRule>
  </conditionalFormatting>
  <dataValidations disablePrompts="1" count="1">
    <dataValidation type="list" allowBlank="1" showInputMessage="1" showErrorMessage="1" sqref="D52 D56:D57">
      <formula1>YNNEDropDown</formula1>
    </dataValidation>
  </dataValidations>
  <pageMargins left="0.25" right="0.25" top="0.75" bottom="0.75" header="0.3" footer="0.3"/>
  <pageSetup scale="27" fitToHeight="100" orientation="landscape" r:id="rId1"/>
  <headerFooter alignWithMargins="0">
    <oddHeader>&amp;L&amp;F&amp;C&amp;A&amp;R&amp;D</oddHeader>
    <oddFooter>&amp;C&amp;P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autoPageBreaks="0" fitToPage="1"/>
  </sheetPr>
  <dimension ref="A1:AD82"/>
  <sheetViews>
    <sheetView zoomScaleNormal="100" workbookViewId="0">
      <pane ySplit="4" topLeftCell="A54" activePane="bottomLeft" state="frozenSplit"/>
      <selection pane="bottomLeft" activeCell="D70" sqref="D70"/>
    </sheetView>
  </sheetViews>
  <sheetFormatPr defaultRowHeight="12.5" x14ac:dyDescent="0.25"/>
  <cols>
    <col min="1" max="1" width="1.81640625" customWidth="1"/>
    <col min="2" max="2" width="5.7265625" customWidth="1"/>
    <col min="3" max="3" width="9.1796875" customWidth="1"/>
    <col min="4" max="4" width="54.453125" customWidth="1"/>
    <col min="5" max="5" width="8" customWidth="1"/>
    <col min="6" max="6" width="41.54296875" customWidth="1"/>
    <col min="7" max="7" width="9.453125" customWidth="1"/>
    <col min="8" max="8" width="2" bestFit="1" customWidth="1"/>
    <col min="9" max="12" width="3.81640625" customWidth="1"/>
    <col min="13" max="13" width="3.7265625" customWidth="1"/>
    <col min="14" max="30" width="3.81640625" customWidth="1"/>
  </cols>
  <sheetData>
    <row r="1" spans="1:30" ht="18" x14ac:dyDescent="0.25">
      <c r="A1" s="212" t="s">
        <v>553</v>
      </c>
      <c r="B1" s="372" t="s">
        <v>143</v>
      </c>
      <c r="C1" s="371">
        <v>1</v>
      </c>
      <c r="D1" s="580" t="s">
        <v>90</v>
      </c>
      <c r="E1" s="581"/>
      <c r="F1" s="581"/>
      <c r="G1" s="582"/>
      <c r="H1" s="287" t="str">
        <f>HYPERLINK(CONCATENATE("http://garwiki.regn.net/mediawiki/index.php/",SUBSTITUTE(D1," ","_"),"_(principle)"),"?")</f>
        <v>?</v>
      </c>
      <c r="I1" s="134" t="s">
        <v>414</v>
      </c>
      <c r="J1" s="134" t="s">
        <v>415</v>
      </c>
      <c r="K1" s="134" t="s">
        <v>414</v>
      </c>
      <c r="L1" s="134" t="s">
        <v>415</v>
      </c>
      <c r="M1" s="134" t="s">
        <v>414</v>
      </c>
      <c r="N1" s="134" t="s">
        <v>415</v>
      </c>
      <c r="O1" s="134" t="s">
        <v>414</v>
      </c>
      <c r="P1" s="134" t="s">
        <v>415</v>
      </c>
      <c r="Q1" s="134" t="s">
        <v>414</v>
      </c>
      <c r="R1" s="134" t="s">
        <v>415</v>
      </c>
      <c r="S1" s="134" t="s">
        <v>414</v>
      </c>
      <c r="T1" s="134" t="s">
        <v>415</v>
      </c>
      <c r="U1" s="134" t="s">
        <v>414</v>
      </c>
      <c r="V1" s="134" t="s">
        <v>415</v>
      </c>
      <c r="W1" s="134" t="s">
        <v>414</v>
      </c>
      <c r="X1" s="134" t="s">
        <v>415</v>
      </c>
      <c r="Y1" s="134" t="s">
        <v>414</v>
      </c>
      <c r="Z1" s="134" t="s">
        <v>415</v>
      </c>
      <c r="AA1" s="134" t="s">
        <v>414</v>
      </c>
      <c r="AB1" s="134" t="s">
        <v>415</v>
      </c>
      <c r="AC1" s="134" t="s">
        <v>414</v>
      </c>
      <c r="AD1" s="134" t="s">
        <v>415</v>
      </c>
    </row>
    <row r="2" spans="1:30" ht="36" customHeight="1" thickBot="1" x14ac:dyDescent="0.3">
      <c r="A2" s="212"/>
      <c r="B2" s="586" t="s">
        <v>1203</v>
      </c>
      <c r="C2" s="587"/>
      <c r="D2" s="587"/>
      <c r="E2" s="179"/>
      <c r="F2" s="298" t="s">
        <v>31</v>
      </c>
      <c r="G2" s="271"/>
      <c r="H2" s="142"/>
      <c r="I2" s="579" t="s">
        <v>883</v>
      </c>
      <c r="J2" s="579"/>
      <c r="K2" s="579" t="s">
        <v>882</v>
      </c>
      <c r="L2" s="579"/>
      <c r="M2" s="579" t="s">
        <v>416</v>
      </c>
      <c r="N2" s="579"/>
      <c r="O2" s="579" t="s">
        <v>312</v>
      </c>
      <c r="P2" s="579"/>
      <c r="Q2" s="579" t="s">
        <v>313</v>
      </c>
      <c r="R2" s="579"/>
      <c r="S2" s="579" t="s">
        <v>311</v>
      </c>
      <c r="T2" s="579"/>
      <c r="U2" s="579" t="s">
        <v>314</v>
      </c>
      <c r="V2" s="579"/>
      <c r="W2" s="583" t="s">
        <v>565</v>
      </c>
      <c r="X2" s="584"/>
      <c r="Y2" s="583" t="s">
        <v>887</v>
      </c>
      <c r="Z2" s="584"/>
      <c r="AA2" s="583" t="s">
        <v>888</v>
      </c>
      <c r="AB2" s="584"/>
      <c r="AC2" s="583" t="s">
        <v>889</v>
      </c>
      <c r="AD2" s="584"/>
    </row>
    <row r="3" spans="1:30" ht="13" thickBot="1" x14ac:dyDescent="0.3">
      <c r="A3" s="212"/>
      <c r="B3" s="12"/>
      <c r="C3" s="51"/>
      <c r="D3" s="12"/>
      <c r="E3" s="183"/>
      <c r="F3" s="156"/>
      <c r="G3" s="184"/>
      <c r="H3" s="142"/>
      <c r="I3" s="106"/>
      <c r="J3" s="106"/>
      <c r="K3" s="106"/>
      <c r="L3" s="106"/>
      <c r="M3" s="62"/>
      <c r="N3" s="62"/>
      <c r="O3" s="106"/>
      <c r="P3" s="106"/>
      <c r="Q3" s="106"/>
      <c r="R3" s="106"/>
      <c r="S3" s="106"/>
      <c r="T3" s="106"/>
      <c r="U3" s="106"/>
      <c r="V3" s="106"/>
      <c r="W3" s="106"/>
      <c r="X3" s="106"/>
      <c r="Y3" s="106"/>
      <c r="Z3" s="106"/>
      <c r="AA3" s="106"/>
      <c r="AB3" s="106"/>
      <c r="AC3" s="106"/>
      <c r="AD3" s="106"/>
    </row>
    <row r="4" spans="1:30" ht="26" x14ac:dyDescent="0.25">
      <c r="A4" s="212"/>
      <c r="B4" s="21" t="s">
        <v>50</v>
      </c>
      <c r="C4" s="52" t="s">
        <v>51</v>
      </c>
      <c r="D4" s="15" t="s">
        <v>35</v>
      </c>
      <c r="E4" s="275" t="s">
        <v>49</v>
      </c>
      <c r="F4" s="276" t="s">
        <v>58</v>
      </c>
      <c r="G4" s="269" t="s">
        <v>656</v>
      </c>
      <c r="H4" s="142"/>
      <c r="I4" s="111" t="s">
        <v>144</v>
      </c>
      <c r="J4" s="111" t="s">
        <v>144</v>
      </c>
      <c r="K4" s="111" t="s">
        <v>144</v>
      </c>
      <c r="L4" s="111" t="s">
        <v>144</v>
      </c>
      <c r="M4" s="111" t="s">
        <v>144</v>
      </c>
      <c r="N4" s="111" t="s">
        <v>144</v>
      </c>
      <c r="O4" s="111" t="s">
        <v>144</v>
      </c>
      <c r="P4" s="111" t="s">
        <v>144</v>
      </c>
      <c r="Q4" s="111" t="s">
        <v>144</v>
      </c>
      <c r="R4" s="111" t="s">
        <v>144</v>
      </c>
      <c r="S4" s="111" t="s">
        <v>144</v>
      </c>
      <c r="T4" s="111" t="s">
        <v>144</v>
      </c>
      <c r="U4" s="111" t="s">
        <v>144</v>
      </c>
      <c r="V4" s="111" t="s">
        <v>144</v>
      </c>
      <c r="W4" s="111" t="s">
        <v>144</v>
      </c>
      <c r="X4" s="111" t="s">
        <v>144</v>
      </c>
      <c r="Y4" s="111" t="s">
        <v>144</v>
      </c>
      <c r="Z4" s="111" t="s">
        <v>144</v>
      </c>
      <c r="AA4" s="111" t="s">
        <v>144</v>
      </c>
      <c r="AB4" s="111" t="s">
        <v>144</v>
      </c>
      <c r="AC4" s="111" t="s">
        <v>144</v>
      </c>
      <c r="AD4" s="111" t="s">
        <v>144</v>
      </c>
    </row>
    <row r="5" spans="1:30" ht="13" x14ac:dyDescent="0.25">
      <c r="A5" s="212" t="s">
        <v>489</v>
      </c>
      <c r="B5" s="139" t="s">
        <v>143</v>
      </c>
      <c r="C5" s="131" t="s">
        <v>1214</v>
      </c>
      <c r="D5" s="574" t="s">
        <v>1176</v>
      </c>
      <c r="E5" s="575"/>
      <c r="F5" s="575"/>
      <c r="G5" s="576"/>
      <c r="H5" s="287" t="str">
        <f>HYPERLINK(CONCATENATE("http://garwiki.regn.net/mediawiki/index.php/",SUBSTITUTE(D5," ","_"),"_(golden_rule)"),"?")</f>
        <v>?</v>
      </c>
      <c r="I5" s="130" t="str">
        <f>I6</f>
        <v>x</v>
      </c>
      <c r="J5" s="130" t="str">
        <f t="shared" ref="J5:AD5" si="0">J6</f>
        <v>x</v>
      </c>
      <c r="K5" s="130" t="str">
        <f>K6</f>
        <v>x</v>
      </c>
      <c r="L5" s="130" t="str">
        <f t="shared" si="0"/>
        <v>x</v>
      </c>
      <c r="M5" s="130" t="str">
        <f t="shared" si="0"/>
        <v>x</v>
      </c>
      <c r="N5" s="130" t="str">
        <f t="shared" si="0"/>
        <v>x</v>
      </c>
      <c r="O5" s="130" t="str">
        <f t="shared" si="0"/>
        <v/>
      </c>
      <c r="P5" s="130" t="str">
        <f t="shared" si="0"/>
        <v>x</v>
      </c>
      <c r="Q5" s="130" t="str">
        <f t="shared" si="0"/>
        <v/>
      </c>
      <c r="R5" s="130" t="str">
        <f t="shared" si="0"/>
        <v>x</v>
      </c>
      <c r="S5" s="130" t="str">
        <f t="shared" si="0"/>
        <v/>
      </c>
      <c r="T5" s="130" t="str">
        <f t="shared" si="0"/>
        <v>x</v>
      </c>
      <c r="U5" s="130" t="str">
        <f t="shared" si="0"/>
        <v/>
      </c>
      <c r="V5" s="130" t="str">
        <f t="shared" si="0"/>
        <v>x</v>
      </c>
      <c r="W5" s="130" t="str">
        <f t="shared" si="0"/>
        <v/>
      </c>
      <c r="X5" s="130" t="str">
        <f t="shared" si="0"/>
        <v/>
      </c>
      <c r="Y5" s="130" t="str">
        <f t="shared" si="0"/>
        <v>x</v>
      </c>
      <c r="Z5" s="130" t="str">
        <f t="shared" si="0"/>
        <v>x</v>
      </c>
      <c r="AA5" s="130" t="str">
        <f t="shared" si="0"/>
        <v>x</v>
      </c>
      <c r="AB5" s="130" t="str">
        <f t="shared" si="0"/>
        <v>x</v>
      </c>
      <c r="AC5" s="130" t="str">
        <f t="shared" si="0"/>
        <v>x</v>
      </c>
      <c r="AD5" s="130" t="str">
        <f t="shared" si="0"/>
        <v>x</v>
      </c>
    </row>
    <row r="6" spans="1:30" x14ac:dyDescent="0.25">
      <c r="A6" s="212"/>
      <c r="B6" s="569" t="s">
        <v>1176</v>
      </c>
      <c r="C6" s="572"/>
      <c r="D6" s="573"/>
      <c r="E6" s="179"/>
      <c r="F6" s="299" t="s">
        <v>31</v>
      </c>
      <c r="G6" s="151"/>
      <c r="H6" s="142"/>
      <c r="I6" s="105" t="str">
        <f>IF(COUNTIF(I7:I10,"x")=0,"","x")</f>
        <v>x</v>
      </c>
      <c r="J6" s="105" t="str">
        <f t="shared" ref="J6:AD6" si="1">IF(COUNTIF(J7:J10,"x")=0,"","x")</f>
        <v>x</v>
      </c>
      <c r="K6" s="105" t="str">
        <f t="shared" si="1"/>
        <v>x</v>
      </c>
      <c r="L6" s="105" t="str">
        <f t="shared" si="1"/>
        <v>x</v>
      </c>
      <c r="M6" s="105" t="str">
        <f t="shared" si="1"/>
        <v>x</v>
      </c>
      <c r="N6" s="105" t="str">
        <f t="shared" si="1"/>
        <v>x</v>
      </c>
      <c r="O6" s="105" t="str">
        <f t="shared" si="1"/>
        <v/>
      </c>
      <c r="P6" s="105" t="str">
        <f t="shared" si="1"/>
        <v>x</v>
      </c>
      <c r="Q6" s="105" t="str">
        <f t="shared" si="1"/>
        <v/>
      </c>
      <c r="R6" s="105" t="str">
        <f t="shared" si="1"/>
        <v>x</v>
      </c>
      <c r="S6" s="105" t="str">
        <f t="shared" si="1"/>
        <v/>
      </c>
      <c r="T6" s="105" t="str">
        <f t="shared" si="1"/>
        <v>x</v>
      </c>
      <c r="U6" s="105" t="str">
        <f t="shared" si="1"/>
        <v/>
      </c>
      <c r="V6" s="105" t="str">
        <f t="shared" si="1"/>
        <v>x</v>
      </c>
      <c r="W6" s="105" t="str">
        <f t="shared" si="1"/>
        <v/>
      </c>
      <c r="X6" s="105" t="str">
        <f t="shared" si="1"/>
        <v/>
      </c>
      <c r="Y6" s="105" t="str">
        <f t="shared" si="1"/>
        <v>x</v>
      </c>
      <c r="Z6" s="105" t="str">
        <f t="shared" si="1"/>
        <v>x</v>
      </c>
      <c r="AA6" s="105" t="str">
        <f t="shared" si="1"/>
        <v>x</v>
      </c>
      <c r="AB6" s="105" t="str">
        <f t="shared" si="1"/>
        <v>x</v>
      </c>
      <c r="AC6" s="105" t="str">
        <f t="shared" si="1"/>
        <v>x</v>
      </c>
      <c r="AD6" s="105" t="str">
        <f t="shared" si="1"/>
        <v>x</v>
      </c>
    </row>
    <row r="7" spans="1:30" x14ac:dyDescent="0.25">
      <c r="A7" s="212" t="s">
        <v>490</v>
      </c>
      <c r="B7" s="49" t="s">
        <v>52</v>
      </c>
      <c r="C7" s="373" t="s">
        <v>53</v>
      </c>
      <c r="D7" s="38" t="s">
        <v>1043</v>
      </c>
      <c r="E7" s="144"/>
      <c r="F7" s="300"/>
      <c r="G7" s="146"/>
      <c r="H7" s="287" t="str">
        <f>HYPERLINK(CONCATENATE("http://garwiki.regn.net/mediawiki/index.php/Scorecard_Rule_",MID(A7,FIND(":",A7)+1,9)),"?")</f>
        <v>?</v>
      </c>
      <c r="I7" s="106" t="s">
        <v>144</v>
      </c>
      <c r="J7" s="106" t="s">
        <v>144</v>
      </c>
      <c r="K7" s="106" t="s">
        <v>144</v>
      </c>
      <c r="L7" s="106" t="s">
        <v>144</v>
      </c>
      <c r="M7" s="106" t="s">
        <v>144</v>
      </c>
      <c r="N7" s="62" t="s">
        <v>144</v>
      </c>
      <c r="O7" s="105"/>
      <c r="P7" s="106" t="s">
        <v>144</v>
      </c>
      <c r="Q7" s="106"/>
      <c r="R7" s="106" t="s">
        <v>144</v>
      </c>
      <c r="S7" s="106"/>
      <c r="T7" s="106" t="s">
        <v>144</v>
      </c>
      <c r="U7" s="106"/>
      <c r="V7" s="106" t="s">
        <v>144</v>
      </c>
      <c r="W7" s="106"/>
      <c r="X7" s="106"/>
      <c r="Y7" s="106" t="s">
        <v>144</v>
      </c>
      <c r="Z7" s="106" t="s">
        <v>144</v>
      </c>
      <c r="AA7" s="106" t="s">
        <v>144</v>
      </c>
      <c r="AB7" s="106" t="s">
        <v>144</v>
      </c>
      <c r="AC7" s="106" t="s">
        <v>144</v>
      </c>
      <c r="AD7" s="106" t="s">
        <v>144</v>
      </c>
    </row>
    <row r="8" spans="1:30" ht="25" x14ac:dyDescent="0.25">
      <c r="A8" s="212" t="s">
        <v>491</v>
      </c>
      <c r="B8" s="49" t="s">
        <v>52</v>
      </c>
      <c r="C8" s="373" t="s">
        <v>57</v>
      </c>
      <c r="D8" s="38" t="s">
        <v>1028</v>
      </c>
      <c r="E8" s="144"/>
      <c r="F8" s="300"/>
      <c r="G8" s="146"/>
      <c r="H8" s="287" t="str">
        <f>HYPERLINK(CONCATENATE("http://garwiki.regn.net/mediawiki/index.php/Scorecard_Rule_",MID(A8,FIND(":",A8)+1,9)),"?")</f>
        <v>?</v>
      </c>
      <c r="I8" s="106" t="s">
        <v>144</v>
      </c>
      <c r="J8" s="106" t="s">
        <v>144</v>
      </c>
      <c r="K8" s="106" t="s">
        <v>144</v>
      </c>
      <c r="L8" s="106" t="s">
        <v>144</v>
      </c>
      <c r="M8" s="106" t="s">
        <v>144</v>
      </c>
      <c r="N8" s="62" t="s">
        <v>144</v>
      </c>
      <c r="O8" s="106"/>
      <c r="P8" s="105" t="s">
        <v>144</v>
      </c>
      <c r="Q8" s="106"/>
      <c r="R8" s="106" t="s">
        <v>144</v>
      </c>
      <c r="S8" s="106"/>
      <c r="T8" s="106" t="s">
        <v>144</v>
      </c>
      <c r="U8" s="106"/>
      <c r="V8" s="106" t="s">
        <v>144</v>
      </c>
      <c r="W8" s="106"/>
      <c r="X8" s="106"/>
      <c r="Y8" s="106" t="s">
        <v>144</v>
      </c>
      <c r="Z8" s="106" t="s">
        <v>144</v>
      </c>
      <c r="AA8" s="106" t="s">
        <v>144</v>
      </c>
      <c r="AB8" s="106" t="s">
        <v>144</v>
      </c>
      <c r="AC8" s="106" t="s">
        <v>144</v>
      </c>
      <c r="AD8" s="106" t="s">
        <v>144</v>
      </c>
    </row>
    <row r="9" spans="1:30" ht="25" x14ac:dyDescent="0.25">
      <c r="A9" s="212" t="s">
        <v>1105</v>
      </c>
      <c r="B9" s="39" t="s">
        <v>52</v>
      </c>
      <c r="C9" s="373" t="s">
        <v>1215</v>
      </c>
      <c r="D9" s="421" t="s">
        <v>1030</v>
      </c>
      <c r="E9" s="422"/>
      <c r="F9" s="301"/>
      <c r="G9" s="423"/>
      <c r="H9" s="287" t="str">
        <f>HYPERLINK(CONCATENATE("http://garwiki.regn.net/mediawiki/index.php/Scorecard_Rule_",MID(A9,FIND(":",A9)+1,9)),"?")</f>
        <v>?</v>
      </c>
      <c r="I9" s="106" t="s">
        <v>144</v>
      </c>
      <c r="J9" s="106" t="s">
        <v>144</v>
      </c>
      <c r="K9" s="106" t="s">
        <v>144</v>
      </c>
      <c r="L9" s="106" t="s">
        <v>144</v>
      </c>
      <c r="M9" s="106" t="s">
        <v>144</v>
      </c>
      <c r="N9" s="342" t="s">
        <v>144</v>
      </c>
      <c r="O9" s="106"/>
      <c r="P9" s="105" t="s">
        <v>144</v>
      </c>
      <c r="Q9" s="106"/>
      <c r="R9" s="106" t="s">
        <v>144</v>
      </c>
      <c r="S9" s="106"/>
      <c r="T9" s="106" t="s">
        <v>144</v>
      </c>
      <c r="U9" s="106"/>
      <c r="V9" s="106" t="s">
        <v>144</v>
      </c>
      <c r="W9" s="106"/>
      <c r="X9" s="106"/>
      <c r="Y9" s="106" t="s">
        <v>144</v>
      </c>
      <c r="Z9" s="106" t="s">
        <v>144</v>
      </c>
      <c r="AA9" s="106" t="s">
        <v>144</v>
      </c>
      <c r="AB9" s="106" t="s">
        <v>144</v>
      </c>
      <c r="AC9" s="106" t="s">
        <v>144</v>
      </c>
      <c r="AD9" s="106" t="s">
        <v>144</v>
      </c>
    </row>
    <row r="10" spans="1:30" ht="25" x14ac:dyDescent="0.25">
      <c r="A10" s="212" t="s">
        <v>1106</v>
      </c>
      <c r="B10" s="49" t="s">
        <v>52</v>
      </c>
      <c r="C10" s="373" t="s">
        <v>1216</v>
      </c>
      <c r="D10" s="38" t="s">
        <v>1044</v>
      </c>
      <c r="E10" s="144"/>
      <c r="F10" s="300"/>
      <c r="G10" s="146"/>
      <c r="H10" s="287" t="str">
        <f>HYPERLINK(CONCATENATE("http://garwiki.regn.net/mediawiki/index.php/Scorecard_Rule_",MID(A10,FIND(":",A10)+1,9)),"?")</f>
        <v>?</v>
      </c>
      <c r="I10" s="106" t="s">
        <v>144</v>
      </c>
      <c r="J10" s="106" t="s">
        <v>144</v>
      </c>
      <c r="K10" s="106" t="s">
        <v>144</v>
      </c>
      <c r="L10" s="106" t="s">
        <v>144</v>
      </c>
      <c r="M10" s="106" t="s">
        <v>144</v>
      </c>
      <c r="N10" s="62" t="s">
        <v>144</v>
      </c>
      <c r="O10" s="106"/>
      <c r="P10" s="106"/>
      <c r="Q10" s="106"/>
      <c r="R10" s="106"/>
      <c r="S10" s="106"/>
      <c r="T10" s="106"/>
      <c r="U10" s="106"/>
      <c r="V10" s="106"/>
      <c r="W10" s="106"/>
      <c r="X10" s="106"/>
      <c r="Y10" s="105" t="s">
        <v>144</v>
      </c>
      <c r="Z10" s="105" t="s">
        <v>144</v>
      </c>
      <c r="AA10" s="105" t="s">
        <v>144</v>
      </c>
      <c r="AB10" s="105" t="s">
        <v>144</v>
      </c>
      <c r="AC10" s="105" t="s">
        <v>144</v>
      </c>
      <c r="AD10" s="105" t="s">
        <v>144</v>
      </c>
    </row>
    <row r="11" spans="1:30" ht="13" x14ac:dyDescent="0.25">
      <c r="A11" s="212" t="s">
        <v>1092</v>
      </c>
      <c r="B11" s="137" t="s">
        <v>143</v>
      </c>
      <c r="C11" s="138" t="s">
        <v>1011</v>
      </c>
      <c r="D11" s="566" t="s">
        <v>1031</v>
      </c>
      <c r="E11" s="567"/>
      <c r="F11" s="567"/>
      <c r="G11" s="568"/>
      <c r="H11" s="287" t="str">
        <f>HYPERLINK(CONCATENATE("http://garwiki.regn.net/mediawiki/index.php/",SUBSTITUTE(D11," ","_"),"_(golden_rule)"),"?")</f>
        <v>?</v>
      </c>
      <c r="I11" s="130" t="str">
        <f>I12</f>
        <v>x</v>
      </c>
      <c r="J11" s="130" t="str">
        <f t="shared" ref="J11:AD11" si="2">J12</f>
        <v>x</v>
      </c>
      <c r="K11" s="130" t="str">
        <f>K12</f>
        <v>x</v>
      </c>
      <c r="L11" s="130" t="str">
        <f t="shared" si="2"/>
        <v>x</v>
      </c>
      <c r="M11" s="130" t="str">
        <f t="shared" si="2"/>
        <v>x</v>
      </c>
      <c r="N11" s="130" t="str">
        <f t="shared" si="2"/>
        <v>x</v>
      </c>
      <c r="O11" s="130" t="str">
        <f t="shared" si="2"/>
        <v/>
      </c>
      <c r="P11" s="130" t="str">
        <f t="shared" si="2"/>
        <v/>
      </c>
      <c r="Q11" s="130" t="str">
        <f t="shared" si="2"/>
        <v/>
      </c>
      <c r="R11" s="130" t="str">
        <f t="shared" si="2"/>
        <v/>
      </c>
      <c r="S11" s="130" t="str">
        <f t="shared" si="2"/>
        <v/>
      </c>
      <c r="T11" s="130" t="str">
        <f t="shared" si="2"/>
        <v/>
      </c>
      <c r="U11" s="130" t="str">
        <f t="shared" si="2"/>
        <v/>
      </c>
      <c r="V11" s="130" t="str">
        <f t="shared" si="2"/>
        <v/>
      </c>
      <c r="W11" s="130" t="str">
        <f t="shared" si="2"/>
        <v/>
      </c>
      <c r="X11" s="130" t="str">
        <f t="shared" si="2"/>
        <v/>
      </c>
      <c r="Y11" s="130" t="str">
        <f t="shared" si="2"/>
        <v>x</v>
      </c>
      <c r="Z11" s="130" t="str">
        <f t="shared" si="2"/>
        <v>x</v>
      </c>
      <c r="AA11" s="130" t="str">
        <f t="shared" si="2"/>
        <v>x</v>
      </c>
      <c r="AB11" s="130" t="str">
        <f t="shared" si="2"/>
        <v>x</v>
      </c>
      <c r="AC11" s="130" t="str">
        <f t="shared" si="2"/>
        <v>x</v>
      </c>
      <c r="AD11" s="130" t="str">
        <f t="shared" si="2"/>
        <v>x</v>
      </c>
    </row>
    <row r="12" spans="1:30" x14ac:dyDescent="0.25">
      <c r="A12" s="212"/>
      <c r="B12" s="569" t="s">
        <v>1031</v>
      </c>
      <c r="C12" s="572"/>
      <c r="D12" s="573"/>
      <c r="E12" s="179"/>
      <c r="F12" s="299" t="s">
        <v>31</v>
      </c>
      <c r="G12" s="151"/>
      <c r="H12" s="287"/>
      <c r="I12" s="105" t="str">
        <f>IF(COUNTIF(I13:I14,"x")=0,"","x")</f>
        <v>x</v>
      </c>
      <c r="J12" s="105" t="str">
        <f t="shared" ref="J12:AD12" si="3">IF(COUNTIF(J13:J14,"x")=0,"","x")</f>
        <v>x</v>
      </c>
      <c r="K12" s="105" t="str">
        <f t="shared" si="3"/>
        <v>x</v>
      </c>
      <c r="L12" s="105" t="str">
        <f t="shared" si="3"/>
        <v>x</v>
      </c>
      <c r="M12" s="105" t="str">
        <f t="shared" si="3"/>
        <v>x</v>
      </c>
      <c r="N12" s="105" t="str">
        <f t="shared" si="3"/>
        <v>x</v>
      </c>
      <c r="O12" s="105" t="str">
        <f t="shared" si="3"/>
        <v/>
      </c>
      <c r="P12" s="105" t="str">
        <f t="shared" si="3"/>
        <v/>
      </c>
      <c r="Q12" s="105" t="str">
        <f t="shared" si="3"/>
        <v/>
      </c>
      <c r="R12" s="105" t="str">
        <f t="shared" si="3"/>
        <v/>
      </c>
      <c r="S12" s="105" t="str">
        <f t="shared" si="3"/>
        <v/>
      </c>
      <c r="T12" s="105" t="str">
        <f t="shared" si="3"/>
        <v/>
      </c>
      <c r="U12" s="105" t="str">
        <f t="shared" si="3"/>
        <v/>
      </c>
      <c r="V12" s="105" t="str">
        <f t="shared" si="3"/>
        <v/>
      </c>
      <c r="W12" s="105" t="str">
        <f t="shared" si="3"/>
        <v/>
      </c>
      <c r="X12" s="105" t="str">
        <f t="shared" si="3"/>
        <v/>
      </c>
      <c r="Y12" s="105" t="str">
        <f t="shared" si="3"/>
        <v>x</v>
      </c>
      <c r="Z12" s="105" t="str">
        <f t="shared" si="3"/>
        <v>x</v>
      </c>
      <c r="AA12" s="105" t="str">
        <f t="shared" si="3"/>
        <v>x</v>
      </c>
      <c r="AB12" s="105" t="str">
        <f t="shared" si="3"/>
        <v>x</v>
      </c>
      <c r="AC12" s="105" t="str">
        <f t="shared" si="3"/>
        <v>x</v>
      </c>
      <c r="AD12" s="105" t="str">
        <f t="shared" si="3"/>
        <v>x</v>
      </c>
    </row>
    <row r="13" spans="1:30" ht="37.5" x14ac:dyDescent="0.25">
      <c r="A13" s="212" t="s">
        <v>1107</v>
      </c>
      <c r="B13" s="39" t="s">
        <v>52</v>
      </c>
      <c r="C13" s="373" t="s">
        <v>38</v>
      </c>
      <c r="D13" s="38" t="s">
        <v>1110</v>
      </c>
      <c r="E13" s="144"/>
      <c r="F13" s="300"/>
      <c r="G13" s="146"/>
      <c r="H13" s="287" t="str">
        <f>HYPERLINK(CONCATENATE("http://garwiki.regn.net/mediawiki/index.php/Scorecard_Rule_",MID(A13,FIND(":",A13)+1,9)),"?")</f>
        <v>?</v>
      </c>
      <c r="I13" s="106" t="s">
        <v>144</v>
      </c>
      <c r="J13" s="106" t="s">
        <v>144</v>
      </c>
      <c r="K13" s="106" t="s">
        <v>144</v>
      </c>
      <c r="L13" s="106" t="s">
        <v>144</v>
      </c>
      <c r="M13" s="106" t="s">
        <v>144</v>
      </c>
      <c r="N13" s="342" t="s">
        <v>144</v>
      </c>
      <c r="O13" s="106"/>
      <c r="P13" s="106"/>
      <c r="Q13" s="106"/>
      <c r="R13" s="106"/>
      <c r="S13" s="106"/>
      <c r="T13" s="106"/>
      <c r="U13" s="106"/>
      <c r="V13" s="106"/>
      <c r="W13" s="106"/>
      <c r="X13" s="106"/>
      <c r="Y13" s="106" t="s">
        <v>144</v>
      </c>
      <c r="Z13" s="106" t="s">
        <v>144</v>
      </c>
      <c r="AA13" s="106" t="s">
        <v>144</v>
      </c>
      <c r="AB13" s="106" t="s">
        <v>144</v>
      </c>
      <c r="AC13" s="106" t="s">
        <v>144</v>
      </c>
      <c r="AD13" s="342" t="s">
        <v>144</v>
      </c>
    </row>
    <row r="14" spans="1:30" ht="25" x14ac:dyDescent="0.25">
      <c r="A14" s="212" t="s">
        <v>554</v>
      </c>
      <c r="B14" s="39" t="s">
        <v>52</v>
      </c>
      <c r="C14" s="373" t="s">
        <v>39</v>
      </c>
      <c r="D14" s="38" t="s">
        <v>810</v>
      </c>
      <c r="E14" s="144"/>
      <c r="F14" s="300"/>
      <c r="G14" s="146"/>
      <c r="H14" s="287" t="str">
        <f>HYPERLINK(CONCATENATE("http://garwiki.regn.net/mediawiki/index.php/Scorecard_Rule_",MID(A14,FIND(":",A14)+1,9)),"?")</f>
        <v>?</v>
      </c>
      <c r="I14" s="106" t="s">
        <v>144</v>
      </c>
      <c r="J14" s="106" t="s">
        <v>144</v>
      </c>
      <c r="K14" s="106" t="s">
        <v>144</v>
      </c>
      <c r="L14" s="106" t="s">
        <v>144</v>
      </c>
      <c r="M14" s="106" t="s">
        <v>144</v>
      </c>
      <c r="N14" s="62" t="s">
        <v>144</v>
      </c>
      <c r="O14" s="106"/>
      <c r="P14" s="106"/>
      <c r="Q14" s="106"/>
      <c r="R14" s="106"/>
      <c r="S14" s="106"/>
      <c r="T14" s="106"/>
      <c r="U14" s="106"/>
      <c r="V14" s="106"/>
      <c r="W14" s="106"/>
      <c r="X14" s="106"/>
      <c r="Y14" s="106" t="s">
        <v>144</v>
      </c>
      <c r="Z14" s="106" t="s">
        <v>144</v>
      </c>
      <c r="AA14" s="106" t="s">
        <v>144</v>
      </c>
      <c r="AB14" s="106" t="s">
        <v>144</v>
      </c>
      <c r="AC14" s="106" t="s">
        <v>144</v>
      </c>
      <c r="AD14" s="342" t="s">
        <v>144</v>
      </c>
    </row>
    <row r="15" spans="1:30" ht="13" x14ac:dyDescent="0.25">
      <c r="A15" s="212" t="s">
        <v>1093</v>
      </c>
      <c r="B15" s="137" t="s">
        <v>143</v>
      </c>
      <c r="C15" s="138" t="s">
        <v>1018</v>
      </c>
      <c r="D15" s="566" t="s">
        <v>1033</v>
      </c>
      <c r="E15" s="567"/>
      <c r="F15" s="567"/>
      <c r="G15" s="568"/>
      <c r="H15" s="287" t="str">
        <f>HYPERLINK(CONCATENATE("http://garwiki.regn.net/mediawiki/index.php/",SUBSTITUTE(D15," ","_"),"_(golden_rule)"),"?")</f>
        <v>?</v>
      </c>
      <c r="I15" s="130" t="str">
        <f>I16</f>
        <v>x</v>
      </c>
      <c r="J15" s="130" t="str">
        <f t="shared" ref="J15:AD15" si="4">J16</f>
        <v>x</v>
      </c>
      <c r="K15" s="130" t="str">
        <f>K16</f>
        <v>x</v>
      </c>
      <c r="L15" s="130" t="str">
        <f t="shared" si="4"/>
        <v>x</v>
      </c>
      <c r="M15" s="130" t="str">
        <f t="shared" si="4"/>
        <v>x</v>
      </c>
      <c r="N15" s="130" t="str">
        <f t="shared" si="4"/>
        <v>x</v>
      </c>
      <c r="O15" s="130" t="str">
        <f t="shared" si="4"/>
        <v/>
      </c>
      <c r="P15" s="130" t="str">
        <f t="shared" si="4"/>
        <v/>
      </c>
      <c r="Q15" s="130" t="str">
        <f t="shared" si="4"/>
        <v/>
      </c>
      <c r="R15" s="130" t="str">
        <f t="shared" si="4"/>
        <v/>
      </c>
      <c r="S15" s="130" t="str">
        <f t="shared" si="4"/>
        <v/>
      </c>
      <c r="T15" s="130" t="str">
        <f t="shared" si="4"/>
        <v/>
      </c>
      <c r="U15" s="130" t="str">
        <f t="shared" si="4"/>
        <v/>
      </c>
      <c r="V15" s="130" t="str">
        <f t="shared" si="4"/>
        <v/>
      </c>
      <c r="W15" s="130" t="str">
        <f t="shared" si="4"/>
        <v/>
      </c>
      <c r="X15" s="130" t="str">
        <f t="shared" si="4"/>
        <v/>
      </c>
      <c r="Y15" s="130" t="str">
        <f t="shared" si="4"/>
        <v>x</v>
      </c>
      <c r="Z15" s="130" t="str">
        <f t="shared" si="4"/>
        <v>x</v>
      </c>
      <c r="AA15" s="130" t="str">
        <f t="shared" si="4"/>
        <v>x</v>
      </c>
      <c r="AB15" s="130" t="str">
        <f t="shared" si="4"/>
        <v>x</v>
      </c>
      <c r="AC15" s="130" t="str">
        <f t="shared" si="4"/>
        <v>x</v>
      </c>
      <c r="AD15" s="130" t="str">
        <f t="shared" si="4"/>
        <v>x</v>
      </c>
    </row>
    <row r="16" spans="1:30" x14ac:dyDescent="0.25">
      <c r="A16" s="212"/>
      <c r="B16" s="569" t="s">
        <v>1033</v>
      </c>
      <c r="C16" s="572"/>
      <c r="D16" s="573"/>
      <c r="E16" s="179"/>
      <c r="F16" s="299" t="s">
        <v>31</v>
      </c>
      <c r="G16" s="151"/>
      <c r="H16" s="287"/>
      <c r="I16" s="105" t="str">
        <f>IF(COUNTIF(I17:I17,"x")=0,"","x")</f>
        <v>x</v>
      </c>
      <c r="J16" s="105" t="str">
        <f t="shared" ref="J16:AD16" si="5">IF(COUNTIF(J17:J17,"x")=0,"","x")</f>
        <v>x</v>
      </c>
      <c r="K16" s="105" t="str">
        <f t="shared" si="5"/>
        <v>x</v>
      </c>
      <c r="L16" s="105" t="str">
        <f t="shared" si="5"/>
        <v>x</v>
      </c>
      <c r="M16" s="105" t="str">
        <f t="shared" si="5"/>
        <v>x</v>
      </c>
      <c r="N16" s="105" t="str">
        <f t="shared" si="5"/>
        <v>x</v>
      </c>
      <c r="O16" s="105" t="str">
        <f t="shared" si="5"/>
        <v/>
      </c>
      <c r="P16" s="105" t="str">
        <f t="shared" si="5"/>
        <v/>
      </c>
      <c r="Q16" s="105" t="str">
        <f t="shared" si="5"/>
        <v/>
      </c>
      <c r="R16" s="105" t="str">
        <f t="shared" si="5"/>
        <v/>
      </c>
      <c r="S16" s="105" t="str">
        <f t="shared" si="5"/>
        <v/>
      </c>
      <c r="T16" s="105" t="str">
        <f t="shared" si="5"/>
        <v/>
      </c>
      <c r="U16" s="105" t="str">
        <f t="shared" si="5"/>
        <v/>
      </c>
      <c r="V16" s="105" t="str">
        <f t="shared" si="5"/>
        <v/>
      </c>
      <c r="W16" s="105" t="str">
        <f t="shared" si="5"/>
        <v/>
      </c>
      <c r="X16" s="105" t="str">
        <f t="shared" si="5"/>
        <v/>
      </c>
      <c r="Y16" s="105" t="str">
        <f t="shared" si="5"/>
        <v>x</v>
      </c>
      <c r="Z16" s="105" t="str">
        <f t="shared" si="5"/>
        <v>x</v>
      </c>
      <c r="AA16" s="105" t="str">
        <f t="shared" si="5"/>
        <v>x</v>
      </c>
      <c r="AB16" s="105" t="str">
        <f t="shared" si="5"/>
        <v>x</v>
      </c>
      <c r="AC16" s="105" t="str">
        <f t="shared" si="5"/>
        <v>x</v>
      </c>
      <c r="AD16" s="105" t="str">
        <f t="shared" si="5"/>
        <v>x</v>
      </c>
    </row>
    <row r="17" spans="1:30" ht="25" x14ac:dyDescent="0.25">
      <c r="A17" s="212" t="s">
        <v>1111</v>
      </c>
      <c r="B17" s="39" t="s">
        <v>52</v>
      </c>
      <c r="C17" s="373" t="s">
        <v>45</v>
      </c>
      <c r="D17" s="38" t="s">
        <v>1034</v>
      </c>
      <c r="E17" s="144"/>
      <c r="F17" s="300"/>
      <c r="G17" s="146"/>
      <c r="H17" s="287" t="str">
        <f>HYPERLINK(CONCATENATE("http://garwiki.regn.net/mediawiki/index.php/Scorecard_Rule_",MID(A17,FIND(":",A17)+1,9)),"?")</f>
        <v>?</v>
      </c>
      <c r="I17" s="106" t="s">
        <v>144</v>
      </c>
      <c r="J17" s="106" t="s">
        <v>144</v>
      </c>
      <c r="K17" s="106" t="s">
        <v>144</v>
      </c>
      <c r="L17" s="106" t="s">
        <v>144</v>
      </c>
      <c r="M17" s="106" t="s">
        <v>144</v>
      </c>
      <c r="N17" s="342" t="s">
        <v>144</v>
      </c>
      <c r="O17" s="106"/>
      <c r="P17" s="106"/>
      <c r="Q17" s="106"/>
      <c r="R17" s="106"/>
      <c r="S17" s="106"/>
      <c r="T17" s="106"/>
      <c r="U17" s="106"/>
      <c r="V17" s="106"/>
      <c r="W17" s="106"/>
      <c r="X17" s="106"/>
      <c r="Y17" s="106" t="s">
        <v>144</v>
      </c>
      <c r="Z17" s="106" t="s">
        <v>144</v>
      </c>
      <c r="AA17" s="106" t="s">
        <v>144</v>
      </c>
      <c r="AB17" s="106" t="s">
        <v>144</v>
      </c>
      <c r="AC17" s="106" t="s">
        <v>144</v>
      </c>
      <c r="AD17" s="342" t="s">
        <v>144</v>
      </c>
    </row>
    <row r="18" spans="1:30" ht="13" x14ac:dyDescent="0.25">
      <c r="A18" s="212" t="s">
        <v>492</v>
      </c>
      <c r="B18" s="137" t="s">
        <v>143</v>
      </c>
      <c r="C18" s="138" t="s">
        <v>1017</v>
      </c>
      <c r="D18" s="566" t="s">
        <v>1177</v>
      </c>
      <c r="E18" s="567"/>
      <c r="F18" s="567"/>
      <c r="G18" s="568"/>
      <c r="H18" s="287" t="str">
        <f>HYPERLINK(CONCATENATE("http://garwiki.regn.net/mediawiki/index.php/",SUBSTITUTE(D18," ","_"),"_(golden_rule)"),"?")</f>
        <v>?</v>
      </c>
      <c r="I18" s="130" t="str">
        <f>I19</f>
        <v>x</v>
      </c>
      <c r="J18" s="130" t="str">
        <f t="shared" ref="J18:AD18" si="6">J19</f>
        <v>x</v>
      </c>
      <c r="K18" s="130" t="str">
        <f>K19</f>
        <v>x</v>
      </c>
      <c r="L18" s="130" t="str">
        <f t="shared" si="6"/>
        <v>x</v>
      </c>
      <c r="M18" s="130" t="str">
        <f t="shared" si="6"/>
        <v>x</v>
      </c>
      <c r="N18" s="130" t="str">
        <f t="shared" si="6"/>
        <v>x</v>
      </c>
      <c r="O18" s="130" t="str">
        <f t="shared" si="6"/>
        <v/>
      </c>
      <c r="P18" s="130" t="str">
        <f t="shared" si="6"/>
        <v>x</v>
      </c>
      <c r="Q18" s="130" t="str">
        <f t="shared" si="6"/>
        <v/>
      </c>
      <c r="R18" s="130" t="str">
        <f t="shared" si="6"/>
        <v>x</v>
      </c>
      <c r="S18" s="130" t="str">
        <f t="shared" si="6"/>
        <v/>
      </c>
      <c r="T18" s="130" t="str">
        <f t="shared" si="6"/>
        <v>x</v>
      </c>
      <c r="U18" s="130" t="str">
        <f t="shared" si="6"/>
        <v/>
      </c>
      <c r="V18" s="130" t="str">
        <f t="shared" si="6"/>
        <v>x</v>
      </c>
      <c r="W18" s="130" t="str">
        <f t="shared" si="6"/>
        <v/>
      </c>
      <c r="X18" s="130" t="str">
        <f t="shared" si="6"/>
        <v/>
      </c>
      <c r="Y18" s="130" t="str">
        <f t="shared" si="6"/>
        <v>x</v>
      </c>
      <c r="Z18" s="130" t="str">
        <f t="shared" si="6"/>
        <v>x</v>
      </c>
      <c r="AA18" s="130" t="str">
        <f t="shared" si="6"/>
        <v>x</v>
      </c>
      <c r="AB18" s="130" t="str">
        <f t="shared" si="6"/>
        <v>x</v>
      </c>
      <c r="AC18" s="130" t="str">
        <f t="shared" si="6"/>
        <v>x</v>
      </c>
      <c r="AD18" s="130" t="str">
        <f t="shared" si="6"/>
        <v>x</v>
      </c>
    </row>
    <row r="19" spans="1:30" x14ac:dyDescent="0.25">
      <c r="A19" s="212"/>
      <c r="B19" s="569" t="s">
        <v>1177</v>
      </c>
      <c r="C19" s="572"/>
      <c r="D19" s="573"/>
      <c r="E19" s="179"/>
      <c r="F19" s="299" t="s">
        <v>31</v>
      </c>
      <c r="G19" s="151"/>
      <c r="H19" s="287"/>
      <c r="I19" s="105" t="str">
        <f>IF(COUNTIF(I20:I20,"x")=0,"","x")</f>
        <v>x</v>
      </c>
      <c r="J19" s="105" t="str">
        <f t="shared" ref="J19:AD19" si="7">IF(COUNTIF(J20:J20,"x")=0,"","x")</f>
        <v>x</v>
      </c>
      <c r="K19" s="105" t="str">
        <f t="shared" si="7"/>
        <v>x</v>
      </c>
      <c r="L19" s="105" t="str">
        <f t="shared" si="7"/>
        <v>x</v>
      </c>
      <c r="M19" s="105" t="str">
        <f t="shared" si="7"/>
        <v>x</v>
      </c>
      <c r="N19" s="105" t="str">
        <f t="shared" si="7"/>
        <v>x</v>
      </c>
      <c r="O19" s="105" t="str">
        <f t="shared" si="7"/>
        <v/>
      </c>
      <c r="P19" s="105" t="str">
        <f t="shared" si="7"/>
        <v>x</v>
      </c>
      <c r="Q19" s="105" t="str">
        <f t="shared" si="7"/>
        <v/>
      </c>
      <c r="R19" s="105" t="str">
        <f t="shared" si="7"/>
        <v>x</v>
      </c>
      <c r="S19" s="105" t="str">
        <f t="shared" si="7"/>
        <v/>
      </c>
      <c r="T19" s="105" t="str">
        <f t="shared" si="7"/>
        <v>x</v>
      </c>
      <c r="U19" s="105" t="str">
        <f t="shared" si="7"/>
        <v/>
      </c>
      <c r="V19" s="105" t="str">
        <f t="shared" si="7"/>
        <v>x</v>
      </c>
      <c r="W19" s="105" t="str">
        <f t="shared" si="7"/>
        <v/>
      </c>
      <c r="X19" s="105" t="str">
        <f t="shared" si="7"/>
        <v/>
      </c>
      <c r="Y19" s="105" t="str">
        <f t="shared" si="7"/>
        <v>x</v>
      </c>
      <c r="Z19" s="105" t="str">
        <f t="shared" si="7"/>
        <v>x</v>
      </c>
      <c r="AA19" s="105" t="str">
        <f t="shared" si="7"/>
        <v>x</v>
      </c>
      <c r="AB19" s="105" t="str">
        <f t="shared" si="7"/>
        <v>x</v>
      </c>
      <c r="AC19" s="105" t="str">
        <f t="shared" si="7"/>
        <v>x</v>
      </c>
      <c r="AD19" s="105" t="str">
        <f t="shared" si="7"/>
        <v>x</v>
      </c>
    </row>
    <row r="20" spans="1:30" x14ac:dyDescent="0.25">
      <c r="A20" s="212" t="s">
        <v>493</v>
      </c>
      <c r="B20" s="39" t="s">
        <v>52</v>
      </c>
      <c r="C20" s="373" t="s">
        <v>42</v>
      </c>
      <c r="D20" s="38" t="s">
        <v>1035</v>
      </c>
      <c r="E20" s="144"/>
      <c r="F20" s="300"/>
      <c r="G20" s="146"/>
      <c r="H20" s="287" t="str">
        <f>HYPERLINK(CONCATENATE("http://garwiki.regn.net/mediawiki/index.php/Scorecard_Rule_",MID(A20,FIND(":",A20)+1,9)),"?")</f>
        <v>?</v>
      </c>
      <c r="I20" s="106" t="s">
        <v>144</v>
      </c>
      <c r="J20" s="106" t="s">
        <v>144</v>
      </c>
      <c r="K20" s="106" t="s">
        <v>144</v>
      </c>
      <c r="L20" s="106" t="s">
        <v>144</v>
      </c>
      <c r="M20" s="106" t="s">
        <v>144</v>
      </c>
      <c r="N20" s="62" t="s">
        <v>144</v>
      </c>
      <c r="O20" s="106"/>
      <c r="P20" s="106" t="s">
        <v>144</v>
      </c>
      <c r="Q20" s="106"/>
      <c r="R20" s="106" t="s">
        <v>144</v>
      </c>
      <c r="S20" s="106"/>
      <c r="T20" s="106" t="s">
        <v>144</v>
      </c>
      <c r="U20" s="106"/>
      <c r="V20" s="106" t="s">
        <v>144</v>
      </c>
      <c r="W20" s="106"/>
      <c r="X20" s="106"/>
      <c r="Y20" s="106" t="s">
        <v>144</v>
      </c>
      <c r="Z20" s="106" t="s">
        <v>144</v>
      </c>
      <c r="AA20" s="106" t="s">
        <v>144</v>
      </c>
      <c r="AB20" s="106" t="s">
        <v>144</v>
      </c>
      <c r="AC20" s="106" t="s">
        <v>144</v>
      </c>
      <c r="AD20" s="342" t="s">
        <v>144</v>
      </c>
    </row>
    <row r="21" spans="1:30" ht="13" x14ac:dyDescent="0.25">
      <c r="A21" s="212" t="s">
        <v>494</v>
      </c>
      <c r="B21" s="137" t="s">
        <v>143</v>
      </c>
      <c r="C21" s="138" t="s">
        <v>1023</v>
      </c>
      <c r="D21" s="566" t="s">
        <v>99</v>
      </c>
      <c r="E21" s="567"/>
      <c r="F21" s="567"/>
      <c r="G21" s="568"/>
      <c r="H21" s="287" t="str">
        <f>HYPERLINK(CONCATENATE("http://garwiki.regn.net/mediawiki/index.php/",SUBSTITUTE(D21," ","_"),"_(golden_rule)"),"?")</f>
        <v>?</v>
      </c>
      <c r="I21" s="130" t="str">
        <f>I22</f>
        <v>x</v>
      </c>
      <c r="J21" s="130" t="str">
        <f t="shared" ref="J21:AD21" si="8">J22</f>
        <v>x</v>
      </c>
      <c r="K21" s="130" t="str">
        <f>K22</f>
        <v>x</v>
      </c>
      <c r="L21" s="130" t="str">
        <f t="shared" si="8"/>
        <v>x</v>
      </c>
      <c r="M21" s="130" t="str">
        <f t="shared" si="8"/>
        <v>x</v>
      </c>
      <c r="N21" s="130" t="str">
        <f t="shared" si="8"/>
        <v>x</v>
      </c>
      <c r="O21" s="130" t="str">
        <f t="shared" si="8"/>
        <v/>
      </c>
      <c r="P21" s="130" t="str">
        <f t="shared" si="8"/>
        <v>x</v>
      </c>
      <c r="Q21" s="130" t="str">
        <f t="shared" si="8"/>
        <v/>
      </c>
      <c r="R21" s="130" t="str">
        <f t="shared" si="8"/>
        <v>x</v>
      </c>
      <c r="S21" s="130" t="str">
        <f t="shared" si="8"/>
        <v/>
      </c>
      <c r="T21" s="130" t="str">
        <f t="shared" si="8"/>
        <v>x</v>
      </c>
      <c r="U21" s="130" t="str">
        <f t="shared" si="8"/>
        <v/>
      </c>
      <c r="V21" s="130" t="str">
        <f t="shared" si="8"/>
        <v>x</v>
      </c>
      <c r="W21" s="130" t="str">
        <f t="shared" si="8"/>
        <v/>
      </c>
      <c r="X21" s="130" t="str">
        <f t="shared" si="8"/>
        <v/>
      </c>
      <c r="Y21" s="130" t="str">
        <f t="shared" si="8"/>
        <v>x</v>
      </c>
      <c r="Z21" s="130" t="str">
        <f t="shared" si="8"/>
        <v>x</v>
      </c>
      <c r="AA21" s="130" t="str">
        <f t="shared" si="8"/>
        <v>x</v>
      </c>
      <c r="AB21" s="130" t="str">
        <f t="shared" si="8"/>
        <v>x</v>
      </c>
      <c r="AC21" s="130" t="str">
        <f t="shared" si="8"/>
        <v>x</v>
      </c>
      <c r="AD21" s="130" t="str">
        <f t="shared" si="8"/>
        <v>x</v>
      </c>
    </row>
    <row r="22" spans="1:30" x14ac:dyDescent="0.25">
      <c r="A22" s="212"/>
      <c r="B22" s="585" t="s">
        <v>99</v>
      </c>
      <c r="C22" s="572"/>
      <c r="D22" s="573"/>
      <c r="E22" s="179"/>
      <c r="F22" s="299" t="s">
        <v>31</v>
      </c>
      <c r="G22" s="151"/>
      <c r="H22" s="287"/>
      <c r="I22" s="105" t="str">
        <f>IF(COUNTIF(I23:I24,"x")=0,"","x")</f>
        <v>x</v>
      </c>
      <c r="J22" s="105" t="str">
        <f t="shared" ref="J22:AD22" si="9">IF(COUNTIF(J23:J24,"x")=0,"","x")</f>
        <v>x</v>
      </c>
      <c r="K22" s="105" t="str">
        <f>IF(COUNTIF(K23:K24,"x")=0,"","x")</f>
        <v>x</v>
      </c>
      <c r="L22" s="105" t="str">
        <f t="shared" ref="L22" si="10">IF(COUNTIF(L23:L24,"x")=0,"","x")</f>
        <v>x</v>
      </c>
      <c r="M22" s="105" t="str">
        <f t="shared" si="9"/>
        <v>x</v>
      </c>
      <c r="N22" s="105" t="str">
        <f t="shared" si="9"/>
        <v>x</v>
      </c>
      <c r="O22" s="105" t="str">
        <f t="shared" si="9"/>
        <v/>
      </c>
      <c r="P22" s="105" t="str">
        <f t="shared" si="9"/>
        <v>x</v>
      </c>
      <c r="Q22" s="105" t="str">
        <f t="shared" si="9"/>
        <v/>
      </c>
      <c r="R22" s="105" t="str">
        <f t="shared" si="9"/>
        <v>x</v>
      </c>
      <c r="S22" s="105" t="str">
        <f t="shared" si="9"/>
        <v/>
      </c>
      <c r="T22" s="105" t="str">
        <f t="shared" si="9"/>
        <v>x</v>
      </c>
      <c r="U22" s="105" t="str">
        <f t="shared" si="9"/>
        <v/>
      </c>
      <c r="V22" s="105" t="str">
        <f t="shared" si="9"/>
        <v>x</v>
      </c>
      <c r="W22" s="105" t="str">
        <f t="shared" si="9"/>
        <v/>
      </c>
      <c r="X22" s="105" t="str">
        <f t="shared" si="9"/>
        <v/>
      </c>
      <c r="Y22" s="105" t="str">
        <f t="shared" si="9"/>
        <v>x</v>
      </c>
      <c r="Z22" s="105" t="str">
        <f t="shared" si="9"/>
        <v>x</v>
      </c>
      <c r="AA22" s="105" t="str">
        <f t="shared" ref="AA22:AB22" si="11">IF(COUNTIF(AA23:AA24,"x")=0,"","x")</f>
        <v>x</v>
      </c>
      <c r="AB22" s="105" t="str">
        <f t="shared" si="11"/>
        <v>x</v>
      </c>
      <c r="AC22" s="105" t="str">
        <f t="shared" si="9"/>
        <v>x</v>
      </c>
      <c r="AD22" s="105" t="str">
        <f t="shared" si="9"/>
        <v>x</v>
      </c>
    </row>
    <row r="23" spans="1:30" ht="25" x14ac:dyDescent="0.25">
      <c r="A23" s="212" t="s">
        <v>495</v>
      </c>
      <c r="B23" s="39" t="s">
        <v>52</v>
      </c>
      <c r="C23" s="373" t="s">
        <v>44</v>
      </c>
      <c r="D23" s="38" t="s">
        <v>244</v>
      </c>
      <c r="E23" s="144"/>
      <c r="F23" s="300"/>
      <c r="G23" s="146"/>
      <c r="H23" s="287" t="str">
        <f>HYPERLINK(CONCATENATE("http://garwiki.regn.net/mediawiki/index.php/Scorecard_Rule_",MID(A23,FIND(":",A23)+1,9)),"?")</f>
        <v>?</v>
      </c>
      <c r="I23" s="106" t="s">
        <v>144</v>
      </c>
      <c r="J23" s="106" t="s">
        <v>144</v>
      </c>
      <c r="K23" s="106" t="s">
        <v>144</v>
      </c>
      <c r="L23" s="106" t="s">
        <v>144</v>
      </c>
      <c r="M23" s="106" t="s">
        <v>144</v>
      </c>
      <c r="N23" s="62" t="s">
        <v>144</v>
      </c>
      <c r="O23" s="106"/>
      <c r="P23" s="106" t="s">
        <v>144</v>
      </c>
      <c r="Q23" s="106"/>
      <c r="R23" s="106" t="s">
        <v>144</v>
      </c>
      <c r="S23" s="106"/>
      <c r="T23" s="106" t="s">
        <v>144</v>
      </c>
      <c r="U23" s="106"/>
      <c r="V23" s="106" t="s">
        <v>144</v>
      </c>
      <c r="W23" s="106"/>
      <c r="X23" s="106"/>
      <c r="Y23" s="106" t="s">
        <v>144</v>
      </c>
      <c r="Z23" s="106" t="s">
        <v>144</v>
      </c>
      <c r="AA23" s="106" t="s">
        <v>144</v>
      </c>
      <c r="AB23" s="106" t="s">
        <v>144</v>
      </c>
      <c r="AC23" s="106" t="s">
        <v>144</v>
      </c>
      <c r="AD23" s="342" t="s">
        <v>144</v>
      </c>
    </row>
    <row r="24" spans="1:30" ht="25" x14ac:dyDescent="0.25">
      <c r="A24" s="212" t="s">
        <v>496</v>
      </c>
      <c r="B24" s="39" t="s">
        <v>52</v>
      </c>
      <c r="C24" s="373" t="s">
        <v>32</v>
      </c>
      <c r="D24" s="38" t="s">
        <v>245</v>
      </c>
      <c r="E24" s="144"/>
      <c r="F24" s="300"/>
      <c r="G24" s="146"/>
      <c r="H24" s="287" t="str">
        <f>HYPERLINK(CONCATENATE("http://garwiki.regn.net/mediawiki/index.php/Scorecard_Rule_",MID(A24,FIND(":",A24)+1,9)),"?")</f>
        <v>?</v>
      </c>
      <c r="I24" s="106" t="s">
        <v>144</v>
      </c>
      <c r="J24" s="106" t="s">
        <v>144</v>
      </c>
      <c r="K24" s="106" t="s">
        <v>144</v>
      </c>
      <c r="L24" s="106" t="s">
        <v>144</v>
      </c>
      <c r="M24" s="106" t="s">
        <v>144</v>
      </c>
      <c r="N24" s="62" t="s">
        <v>144</v>
      </c>
      <c r="O24" s="106"/>
      <c r="P24" s="106" t="s">
        <v>144</v>
      </c>
      <c r="Q24" s="106"/>
      <c r="R24" s="106" t="s">
        <v>144</v>
      </c>
      <c r="S24" s="106"/>
      <c r="T24" s="106" t="s">
        <v>144</v>
      </c>
      <c r="U24" s="106"/>
      <c r="V24" s="106" t="s">
        <v>144</v>
      </c>
      <c r="W24" s="106"/>
      <c r="X24" s="106"/>
      <c r="Y24" s="106" t="s">
        <v>144</v>
      </c>
      <c r="Z24" s="106" t="s">
        <v>144</v>
      </c>
      <c r="AA24" s="106" t="s">
        <v>144</v>
      </c>
      <c r="AB24" s="106" t="s">
        <v>144</v>
      </c>
      <c r="AC24" s="106" t="s">
        <v>144</v>
      </c>
      <c r="AD24" s="342" t="s">
        <v>144</v>
      </c>
    </row>
    <row r="25" spans="1:30" ht="13" x14ac:dyDescent="0.25">
      <c r="A25" s="212" t="s">
        <v>497</v>
      </c>
      <c r="B25" s="137" t="s">
        <v>143</v>
      </c>
      <c r="C25" s="138" t="s">
        <v>1217</v>
      </c>
      <c r="D25" s="566" t="s">
        <v>1038</v>
      </c>
      <c r="E25" s="567"/>
      <c r="F25" s="567"/>
      <c r="G25" s="568"/>
      <c r="H25" s="287" t="str">
        <f>HYPERLINK(CONCATENATE("http://garwiki.regn.net/mediawiki/index.php/",SUBSTITUTE(D25," ","_"),"_(golden_rule)"),"?")</f>
        <v>?</v>
      </c>
      <c r="I25" s="130" t="str">
        <f>I26</f>
        <v>x</v>
      </c>
      <c r="J25" s="130" t="str">
        <f t="shared" ref="J25:AD25" si="12">J26</f>
        <v>x</v>
      </c>
      <c r="K25" s="130" t="str">
        <f>K26</f>
        <v>x</v>
      </c>
      <c r="L25" s="130" t="str">
        <f t="shared" si="12"/>
        <v>x</v>
      </c>
      <c r="M25" s="130" t="str">
        <f t="shared" si="12"/>
        <v>x</v>
      </c>
      <c r="N25" s="130" t="str">
        <f t="shared" si="12"/>
        <v>x</v>
      </c>
      <c r="O25" s="130" t="str">
        <f t="shared" si="12"/>
        <v/>
      </c>
      <c r="P25" s="130" t="str">
        <f t="shared" si="12"/>
        <v>x</v>
      </c>
      <c r="Q25" s="130" t="str">
        <f t="shared" si="12"/>
        <v/>
      </c>
      <c r="R25" s="130" t="str">
        <f t="shared" si="12"/>
        <v>x</v>
      </c>
      <c r="S25" s="130" t="str">
        <f t="shared" si="12"/>
        <v/>
      </c>
      <c r="T25" s="130" t="str">
        <f t="shared" si="12"/>
        <v>x</v>
      </c>
      <c r="U25" s="130" t="str">
        <f t="shared" si="12"/>
        <v/>
      </c>
      <c r="V25" s="130" t="str">
        <f t="shared" si="12"/>
        <v>x</v>
      </c>
      <c r="W25" s="130" t="str">
        <f t="shared" si="12"/>
        <v/>
      </c>
      <c r="X25" s="130" t="str">
        <f t="shared" si="12"/>
        <v/>
      </c>
      <c r="Y25" s="130" t="str">
        <f t="shared" si="12"/>
        <v>x</v>
      </c>
      <c r="Z25" s="130" t="str">
        <f t="shared" si="12"/>
        <v>x</v>
      </c>
      <c r="AA25" s="130" t="str">
        <f t="shared" si="12"/>
        <v>x</v>
      </c>
      <c r="AB25" s="130" t="str">
        <f t="shared" si="12"/>
        <v>x</v>
      </c>
      <c r="AC25" s="130" t="str">
        <f t="shared" si="12"/>
        <v>x</v>
      </c>
      <c r="AD25" s="130" t="str">
        <f t="shared" si="12"/>
        <v>x</v>
      </c>
    </row>
    <row r="26" spans="1:30" ht="24.75" customHeight="1" x14ac:dyDescent="0.25">
      <c r="A26" s="212"/>
      <c r="B26" s="569" t="s">
        <v>1038</v>
      </c>
      <c r="C26" s="572"/>
      <c r="D26" s="573"/>
      <c r="E26" s="179"/>
      <c r="F26" s="299" t="s">
        <v>31</v>
      </c>
      <c r="G26" s="151"/>
      <c r="H26" s="287"/>
      <c r="I26" s="105" t="str">
        <f>IF(COUNTIF(I27:I27,"x")=0,"","x")</f>
        <v>x</v>
      </c>
      <c r="J26" s="105" t="str">
        <f t="shared" ref="J26:AD26" si="13">IF(COUNTIF(J27:J27,"x")=0,"","x")</f>
        <v>x</v>
      </c>
      <c r="K26" s="105" t="str">
        <f t="shared" si="13"/>
        <v>x</v>
      </c>
      <c r="L26" s="105" t="str">
        <f t="shared" si="13"/>
        <v>x</v>
      </c>
      <c r="M26" s="105" t="str">
        <f t="shared" si="13"/>
        <v>x</v>
      </c>
      <c r="N26" s="105" t="str">
        <f t="shared" si="13"/>
        <v>x</v>
      </c>
      <c r="O26" s="105" t="str">
        <f t="shared" si="13"/>
        <v/>
      </c>
      <c r="P26" s="105" t="str">
        <f t="shared" si="13"/>
        <v>x</v>
      </c>
      <c r="Q26" s="105" t="str">
        <f t="shared" si="13"/>
        <v/>
      </c>
      <c r="R26" s="105" t="str">
        <f t="shared" si="13"/>
        <v>x</v>
      </c>
      <c r="S26" s="105" t="str">
        <f t="shared" si="13"/>
        <v/>
      </c>
      <c r="T26" s="105" t="str">
        <f t="shared" si="13"/>
        <v>x</v>
      </c>
      <c r="U26" s="105" t="str">
        <f t="shared" si="13"/>
        <v/>
      </c>
      <c r="V26" s="105" t="str">
        <f t="shared" si="13"/>
        <v>x</v>
      </c>
      <c r="W26" s="105" t="str">
        <f t="shared" si="13"/>
        <v/>
      </c>
      <c r="X26" s="105" t="str">
        <f t="shared" si="13"/>
        <v/>
      </c>
      <c r="Y26" s="105" t="str">
        <f t="shared" si="13"/>
        <v>x</v>
      </c>
      <c r="Z26" s="105" t="str">
        <f t="shared" si="13"/>
        <v>x</v>
      </c>
      <c r="AA26" s="105" t="str">
        <f t="shared" si="13"/>
        <v>x</v>
      </c>
      <c r="AB26" s="105" t="str">
        <f t="shared" si="13"/>
        <v>x</v>
      </c>
      <c r="AC26" s="105" t="str">
        <f t="shared" si="13"/>
        <v>x</v>
      </c>
      <c r="AD26" s="105" t="str">
        <f t="shared" si="13"/>
        <v>x</v>
      </c>
    </row>
    <row r="27" spans="1:30" ht="25" x14ac:dyDescent="0.25">
      <c r="A27" s="212" t="s">
        <v>498</v>
      </c>
      <c r="B27" s="39" t="s">
        <v>52</v>
      </c>
      <c r="C27" s="373" t="s">
        <v>1218</v>
      </c>
      <c r="D27" s="38" t="s">
        <v>246</v>
      </c>
      <c r="E27" s="144"/>
      <c r="F27" s="300"/>
      <c r="G27" s="146"/>
      <c r="H27" s="287" t="str">
        <f>HYPERLINK(CONCATENATE("http://garwiki.regn.net/mediawiki/index.php/Scorecard_Rule_",MID(A27,FIND(":",A27)+1,9)),"?")</f>
        <v>?</v>
      </c>
      <c r="I27" s="106" t="s">
        <v>144</v>
      </c>
      <c r="J27" s="106" t="s">
        <v>144</v>
      </c>
      <c r="K27" s="106" t="s">
        <v>144</v>
      </c>
      <c r="L27" s="106" t="s">
        <v>144</v>
      </c>
      <c r="M27" s="106" t="s">
        <v>144</v>
      </c>
      <c r="N27" s="62" t="s">
        <v>144</v>
      </c>
      <c r="O27" s="106"/>
      <c r="P27" s="106" t="s">
        <v>144</v>
      </c>
      <c r="Q27" s="106"/>
      <c r="R27" s="106" t="s">
        <v>144</v>
      </c>
      <c r="S27" s="106"/>
      <c r="T27" s="106" t="s">
        <v>144</v>
      </c>
      <c r="U27" s="106"/>
      <c r="V27" s="106" t="s">
        <v>144</v>
      </c>
      <c r="W27" s="106"/>
      <c r="X27" s="106"/>
      <c r="Y27" s="106" t="s">
        <v>144</v>
      </c>
      <c r="Z27" s="106" t="s">
        <v>144</v>
      </c>
      <c r="AA27" s="106" t="s">
        <v>144</v>
      </c>
      <c r="AB27" s="106" t="s">
        <v>144</v>
      </c>
      <c r="AC27" s="106" t="s">
        <v>144</v>
      </c>
      <c r="AD27" s="342" t="s">
        <v>144</v>
      </c>
    </row>
    <row r="28" spans="1:30" ht="13" x14ac:dyDescent="0.25">
      <c r="A28" s="212" t="s">
        <v>499</v>
      </c>
      <c r="B28" s="137" t="s">
        <v>143</v>
      </c>
      <c r="C28" s="138" t="s">
        <v>1219</v>
      </c>
      <c r="D28" s="566" t="s">
        <v>1178</v>
      </c>
      <c r="E28" s="567"/>
      <c r="F28" s="567"/>
      <c r="G28" s="568"/>
      <c r="H28" s="287" t="str">
        <f>HYPERLINK(CONCATENATE("http://garwiki.regn.net/mediawiki/index.php/",SUBSTITUTE(D28," ","_"),"_(golden_rule)"),"?")</f>
        <v>?</v>
      </c>
      <c r="I28" s="130" t="str">
        <f>I29</f>
        <v>x</v>
      </c>
      <c r="J28" s="130" t="str">
        <f t="shared" ref="J28:AD28" si="14">J29</f>
        <v>x</v>
      </c>
      <c r="K28" s="130" t="str">
        <f>K29</f>
        <v>x</v>
      </c>
      <c r="L28" s="130" t="str">
        <f t="shared" si="14"/>
        <v>x</v>
      </c>
      <c r="M28" s="130" t="str">
        <f t="shared" si="14"/>
        <v/>
      </c>
      <c r="N28" s="130" t="str">
        <f t="shared" si="14"/>
        <v>x</v>
      </c>
      <c r="O28" s="130" t="str">
        <f t="shared" si="14"/>
        <v>x</v>
      </c>
      <c r="P28" s="130" t="str">
        <f t="shared" si="14"/>
        <v>x</v>
      </c>
      <c r="Q28" s="130" t="str">
        <f t="shared" si="14"/>
        <v>x</v>
      </c>
      <c r="R28" s="130" t="str">
        <f t="shared" si="14"/>
        <v>x</v>
      </c>
      <c r="S28" s="130" t="str">
        <f t="shared" si="14"/>
        <v>x</v>
      </c>
      <c r="T28" s="130" t="str">
        <f t="shared" si="14"/>
        <v>x</v>
      </c>
      <c r="U28" s="130" t="str">
        <f t="shared" si="14"/>
        <v>x</v>
      </c>
      <c r="V28" s="130" t="str">
        <f t="shared" si="14"/>
        <v>x</v>
      </c>
      <c r="W28" s="130" t="str">
        <f t="shared" si="14"/>
        <v/>
      </c>
      <c r="X28" s="130" t="str">
        <f t="shared" si="14"/>
        <v/>
      </c>
      <c r="Y28" s="130" t="str">
        <f t="shared" si="14"/>
        <v>x</v>
      </c>
      <c r="Z28" s="130" t="str">
        <f t="shared" si="14"/>
        <v>x</v>
      </c>
      <c r="AA28" s="130" t="str">
        <f t="shared" si="14"/>
        <v>x</v>
      </c>
      <c r="AB28" s="130" t="str">
        <f t="shared" si="14"/>
        <v>x</v>
      </c>
      <c r="AC28" s="130" t="str">
        <f t="shared" si="14"/>
        <v>x</v>
      </c>
      <c r="AD28" s="130" t="str">
        <f t="shared" si="14"/>
        <v>x</v>
      </c>
    </row>
    <row r="29" spans="1:30" x14ac:dyDescent="0.25">
      <c r="A29" s="212"/>
      <c r="B29" s="569" t="s">
        <v>1178</v>
      </c>
      <c r="C29" s="572"/>
      <c r="D29" s="573"/>
      <c r="E29" s="179"/>
      <c r="F29" s="299" t="s">
        <v>31</v>
      </c>
      <c r="G29" s="151"/>
      <c r="H29" s="287"/>
      <c r="I29" s="106" t="str">
        <f t="shared" ref="I29:AD29" si="15">IF(COUNTIF(I30:I31,"x")=0,"","x")</f>
        <v>x</v>
      </c>
      <c r="J29" s="106" t="str">
        <f t="shared" si="15"/>
        <v>x</v>
      </c>
      <c r="K29" s="106" t="str">
        <f t="shared" si="15"/>
        <v>x</v>
      </c>
      <c r="L29" s="106" t="str">
        <f t="shared" si="15"/>
        <v>x</v>
      </c>
      <c r="M29" s="106" t="str">
        <f t="shared" si="15"/>
        <v/>
      </c>
      <c r="N29" s="106" t="str">
        <f t="shared" si="15"/>
        <v>x</v>
      </c>
      <c r="O29" s="106" t="str">
        <f t="shared" si="15"/>
        <v>x</v>
      </c>
      <c r="P29" s="106" t="str">
        <f t="shared" si="15"/>
        <v>x</v>
      </c>
      <c r="Q29" s="106" t="str">
        <f t="shared" si="15"/>
        <v>x</v>
      </c>
      <c r="R29" s="106" t="str">
        <f t="shared" si="15"/>
        <v>x</v>
      </c>
      <c r="S29" s="106" t="str">
        <f t="shared" si="15"/>
        <v>x</v>
      </c>
      <c r="T29" s="106" t="str">
        <f t="shared" si="15"/>
        <v>x</v>
      </c>
      <c r="U29" s="106" t="str">
        <f t="shared" si="15"/>
        <v>x</v>
      </c>
      <c r="V29" s="106" t="str">
        <f t="shared" si="15"/>
        <v>x</v>
      </c>
      <c r="W29" s="106" t="str">
        <f t="shared" si="15"/>
        <v/>
      </c>
      <c r="X29" s="106" t="str">
        <f t="shared" si="15"/>
        <v/>
      </c>
      <c r="Y29" s="106" t="str">
        <f t="shared" si="15"/>
        <v>x</v>
      </c>
      <c r="Z29" s="106" t="str">
        <f t="shared" si="15"/>
        <v>x</v>
      </c>
      <c r="AA29" s="106" t="str">
        <f t="shared" si="15"/>
        <v>x</v>
      </c>
      <c r="AB29" s="106" t="str">
        <f t="shared" si="15"/>
        <v>x</v>
      </c>
      <c r="AC29" s="106" t="str">
        <f t="shared" si="15"/>
        <v>x</v>
      </c>
      <c r="AD29" s="106" t="str">
        <f t="shared" si="15"/>
        <v>x</v>
      </c>
    </row>
    <row r="30" spans="1:30" ht="25" x14ac:dyDescent="0.25">
      <c r="A30" s="212" t="s">
        <v>500</v>
      </c>
      <c r="B30" s="39" t="s">
        <v>52</v>
      </c>
      <c r="C30" s="373" t="s">
        <v>1220</v>
      </c>
      <c r="D30" s="38" t="s">
        <v>1036</v>
      </c>
      <c r="E30" s="144"/>
      <c r="F30" s="300"/>
      <c r="G30" s="146"/>
      <c r="H30" s="287" t="str">
        <f t="shared" ref="H30:H31" si="16">HYPERLINK(CONCATENATE("http://garwiki.regn.net/mediawiki/index.php/Scorecard_Rule_",MID(A30,FIND(":",A30)+1,9)),"?")</f>
        <v>?</v>
      </c>
      <c r="I30" s="105" t="s">
        <v>144</v>
      </c>
      <c r="J30" s="106" t="s">
        <v>144</v>
      </c>
      <c r="K30" s="105" t="s">
        <v>144</v>
      </c>
      <c r="L30" s="106" t="s">
        <v>144</v>
      </c>
      <c r="M30" s="62"/>
      <c r="N30" s="62" t="s">
        <v>144</v>
      </c>
      <c r="O30" s="106" t="s">
        <v>144</v>
      </c>
      <c r="P30" s="106" t="s">
        <v>144</v>
      </c>
      <c r="Q30" s="106" t="s">
        <v>144</v>
      </c>
      <c r="R30" s="106" t="s">
        <v>144</v>
      </c>
      <c r="S30" s="106" t="s">
        <v>144</v>
      </c>
      <c r="T30" s="106" t="s">
        <v>144</v>
      </c>
      <c r="U30" s="106" t="s">
        <v>144</v>
      </c>
      <c r="V30" s="106" t="s">
        <v>144</v>
      </c>
      <c r="W30" s="106"/>
      <c r="X30" s="106"/>
      <c r="Y30" s="106" t="s">
        <v>144</v>
      </c>
      <c r="Z30" s="106" t="s">
        <v>144</v>
      </c>
      <c r="AA30" s="106" t="s">
        <v>144</v>
      </c>
      <c r="AB30" s="106" t="s">
        <v>144</v>
      </c>
      <c r="AC30" s="106" t="s">
        <v>144</v>
      </c>
      <c r="AD30" s="106" t="s">
        <v>144</v>
      </c>
    </row>
    <row r="31" spans="1:30" ht="37.5" x14ac:dyDescent="0.25">
      <c r="A31" s="212" t="s">
        <v>1112</v>
      </c>
      <c r="B31" s="39" t="s">
        <v>52</v>
      </c>
      <c r="C31" s="373" t="s">
        <v>1221</v>
      </c>
      <c r="D31" s="401" t="s">
        <v>1037</v>
      </c>
      <c r="E31" s="351"/>
      <c r="F31" s="424"/>
      <c r="G31" s="406"/>
      <c r="H31" s="287" t="str">
        <f t="shared" si="16"/>
        <v>?</v>
      </c>
      <c r="I31" s="105" t="s">
        <v>144</v>
      </c>
      <c r="J31" s="106" t="s">
        <v>144</v>
      </c>
      <c r="K31" s="105" t="s">
        <v>144</v>
      </c>
      <c r="L31" s="106" t="s">
        <v>144</v>
      </c>
      <c r="M31" s="342"/>
      <c r="N31" s="342" t="s">
        <v>144</v>
      </c>
      <c r="O31" s="106" t="s">
        <v>144</v>
      </c>
      <c r="P31" s="106" t="s">
        <v>144</v>
      </c>
      <c r="Q31" s="106" t="s">
        <v>144</v>
      </c>
      <c r="R31" s="106" t="s">
        <v>144</v>
      </c>
      <c r="S31" s="106" t="s">
        <v>144</v>
      </c>
      <c r="T31" s="106" t="s">
        <v>144</v>
      </c>
      <c r="U31" s="106" t="s">
        <v>144</v>
      </c>
      <c r="V31" s="106" t="s">
        <v>144</v>
      </c>
      <c r="W31" s="106"/>
      <c r="X31" s="106"/>
      <c r="Y31" s="106" t="s">
        <v>144</v>
      </c>
      <c r="Z31" s="106" t="s">
        <v>144</v>
      </c>
      <c r="AA31" s="106" t="s">
        <v>144</v>
      </c>
      <c r="AB31" s="106" t="s">
        <v>144</v>
      </c>
      <c r="AC31" s="106" t="s">
        <v>144</v>
      </c>
      <c r="AD31" s="106" t="s">
        <v>144</v>
      </c>
    </row>
    <row r="32" spans="1:30" ht="13" x14ac:dyDescent="0.25">
      <c r="A32" s="212" t="s">
        <v>501</v>
      </c>
      <c r="B32" s="137" t="s">
        <v>143</v>
      </c>
      <c r="C32" s="138" t="s">
        <v>1222</v>
      </c>
      <c r="D32" s="566" t="s">
        <v>1039</v>
      </c>
      <c r="E32" s="567"/>
      <c r="F32" s="567"/>
      <c r="G32" s="568"/>
      <c r="H32" s="287" t="str">
        <f>HYPERLINK(CONCATENATE("http://garwiki.regn.net/mediawiki/index.php/",SUBSTITUTE(D32," ","_"),"_(golden_rule)"),"?")</f>
        <v>?</v>
      </c>
      <c r="I32" s="130" t="str">
        <f>I33</f>
        <v>x</v>
      </c>
      <c r="J32" s="130" t="str">
        <f t="shared" ref="J32:AD32" si="17">J33</f>
        <v>x</v>
      </c>
      <c r="K32" s="130" t="str">
        <f>K33</f>
        <v>x</v>
      </c>
      <c r="L32" s="130" t="str">
        <f t="shared" si="17"/>
        <v>x</v>
      </c>
      <c r="M32" s="130" t="str">
        <f t="shared" si="17"/>
        <v>x</v>
      </c>
      <c r="N32" s="130" t="str">
        <f t="shared" si="17"/>
        <v>x</v>
      </c>
      <c r="O32" s="130" t="str">
        <f t="shared" si="17"/>
        <v/>
      </c>
      <c r="P32" s="130" t="str">
        <f t="shared" si="17"/>
        <v>x</v>
      </c>
      <c r="Q32" s="130" t="str">
        <f t="shared" si="17"/>
        <v/>
      </c>
      <c r="R32" s="130" t="str">
        <f t="shared" si="17"/>
        <v>x</v>
      </c>
      <c r="S32" s="130" t="str">
        <f t="shared" si="17"/>
        <v/>
      </c>
      <c r="T32" s="130" t="str">
        <f t="shared" si="17"/>
        <v>x</v>
      </c>
      <c r="U32" s="130" t="str">
        <f t="shared" si="17"/>
        <v/>
      </c>
      <c r="V32" s="130" t="str">
        <f t="shared" si="17"/>
        <v>x</v>
      </c>
      <c r="W32" s="130" t="str">
        <f t="shared" si="17"/>
        <v/>
      </c>
      <c r="X32" s="130" t="str">
        <f t="shared" si="17"/>
        <v/>
      </c>
      <c r="Y32" s="130" t="str">
        <f t="shared" si="17"/>
        <v>x</v>
      </c>
      <c r="Z32" s="130" t="str">
        <f t="shared" si="17"/>
        <v>x</v>
      </c>
      <c r="AA32" s="130" t="str">
        <f t="shared" si="17"/>
        <v>x</v>
      </c>
      <c r="AB32" s="130" t="str">
        <f t="shared" si="17"/>
        <v>x</v>
      </c>
      <c r="AC32" s="130" t="str">
        <f t="shared" si="17"/>
        <v>x</v>
      </c>
      <c r="AD32" s="130" t="str">
        <f t="shared" si="17"/>
        <v>x</v>
      </c>
    </row>
    <row r="33" spans="1:30" ht="24.75" customHeight="1" x14ac:dyDescent="0.25">
      <c r="A33" s="212"/>
      <c r="B33" s="569" t="s">
        <v>1039</v>
      </c>
      <c r="C33" s="572"/>
      <c r="D33" s="573"/>
      <c r="E33" s="179"/>
      <c r="F33" s="299" t="s">
        <v>31</v>
      </c>
      <c r="G33" s="151"/>
      <c r="H33" s="288"/>
      <c r="I33" s="105" t="str">
        <f>IF(COUNTIF(I34:I36,"x")=0,"","x")</f>
        <v>x</v>
      </c>
      <c r="J33" s="105" t="str">
        <f t="shared" ref="J33:AD33" si="18">IF(COUNTIF(J34:J36,"x")=0,"","x")</f>
        <v>x</v>
      </c>
      <c r="K33" s="105" t="str">
        <f t="shared" si="18"/>
        <v>x</v>
      </c>
      <c r="L33" s="105" t="str">
        <f t="shared" si="18"/>
        <v>x</v>
      </c>
      <c r="M33" s="105" t="str">
        <f t="shared" si="18"/>
        <v>x</v>
      </c>
      <c r="N33" s="105" t="str">
        <f t="shared" si="18"/>
        <v>x</v>
      </c>
      <c r="O33" s="105" t="str">
        <f t="shared" si="18"/>
        <v/>
      </c>
      <c r="P33" s="105" t="str">
        <f t="shared" si="18"/>
        <v>x</v>
      </c>
      <c r="Q33" s="105" t="str">
        <f t="shared" si="18"/>
        <v/>
      </c>
      <c r="R33" s="105" t="str">
        <f t="shared" si="18"/>
        <v>x</v>
      </c>
      <c r="S33" s="105" t="str">
        <f t="shared" si="18"/>
        <v/>
      </c>
      <c r="T33" s="105" t="str">
        <f t="shared" si="18"/>
        <v>x</v>
      </c>
      <c r="U33" s="105" t="str">
        <f t="shared" si="18"/>
        <v/>
      </c>
      <c r="V33" s="105" t="str">
        <f t="shared" si="18"/>
        <v>x</v>
      </c>
      <c r="W33" s="105" t="str">
        <f t="shared" si="18"/>
        <v/>
      </c>
      <c r="X33" s="105" t="str">
        <f t="shared" si="18"/>
        <v/>
      </c>
      <c r="Y33" s="105" t="str">
        <f t="shared" si="18"/>
        <v>x</v>
      </c>
      <c r="Z33" s="105" t="str">
        <f t="shared" si="18"/>
        <v>x</v>
      </c>
      <c r="AA33" s="105" t="str">
        <f t="shared" si="18"/>
        <v>x</v>
      </c>
      <c r="AB33" s="105" t="str">
        <f t="shared" si="18"/>
        <v>x</v>
      </c>
      <c r="AC33" s="105" t="str">
        <f t="shared" si="18"/>
        <v>x</v>
      </c>
      <c r="AD33" s="105" t="str">
        <f t="shared" si="18"/>
        <v>x</v>
      </c>
    </row>
    <row r="34" spans="1:30" x14ac:dyDescent="0.25">
      <c r="A34" s="212" t="s">
        <v>1113</v>
      </c>
      <c r="B34" s="49" t="s">
        <v>52</v>
      </c>
      <c r="C34" s="373" t="s">
        <v>1223</v>
      </c>
      <c r="D34" s="38" t="s">
        <v>1040</v>
      </c>
      <c r="E34" s="144"/>
      <c r="F34" s="300"/>
      <c r="G34" s="146"/>
      <c r="H34" s="287" t="str">
        <f>HYPERLINK(CONCATENATE("http://garwiki.regn.net/mediawiki/index.php/Scorecard_Rule_",MID(A34,FIND(":",A34)+1,9)),"?")</f>
        <v>?</v>
      </c>
      <c r="I34" s="106" t="s">
        <v>144</v>
      </c>
      <c r="J34" s="106" t="s">
        <v>144</v>
      </c>
      <c r="K34" s="106" t="s">
        <v>144</v>
      </c>
      <c r="L34" s="106" t="s">
        <v>144</v>
      </c>
      <c r="M34" s="106" t="s">
        <v>144</v>
      </c>
      <c r="N34" s="342" t="s">
        <v>144</v>
      </c>
      <c r="O34" s="106"/>
      <c r="P34" s="106" t="s">
        <v>144</v>
      </c>
      <c r="Q34" s="106"/>
      <c r="R34" s="106" t="s">
        <v>144</v>
      </c>
      <c r="S34" s="106"/>
      <c r="T34" s="106" t="s">
        <v>144</v>
      </c>
      <c r="U34" s="106"/>
      <c r="V34" s="106" t="s">
        <v>144</v>
      </c>
      <c r="W34" s="106"/>
      <c r="X34" s="106"/>
      <c r="Y34" s="106" t="s">
        <v>144</v>
      </c>
      <c r="Z34" s="106" t="s">
        <v>144</v>
      </c>
      <c r="AA34" s="106" t="s">
        <v>144</v>
      </c>
      <c r="AB34" s="106" t="s">
        <v>144</v>
      </c>
      <c r="AC34" s="106" t="s">
        <v>144</v>
      </c>
      <c r="AD34" s="106" t="s">
        <v>144</v>
      </c>
    </row>
    <row r="35" spans="1:30" ht="25" x14ac:dyDescent="0.25">
      <c r="A35" s="212" t="s">
        <v>502</v>
      </c>
      <c r="B35" s="49" t="s">
        <v>52</v>
      </c>
      <c r="C35" s="373" t="s">
        <v>1224</v>
      </c>
      <c r="D35" s="38" t="s">
        <v>1041</v>
      </c>
      <c r="E35" s="144"/>
      <c r="F35" s="300"/>
      <c r="G35" s="146"/>
      <c r="H35" s="287" t="str">
        <f>HYPERLINK(CONCATENATE("http://garwiki.regn.net/mediawiki/index.php/Scorecard_Rule_",MID(A35,FIND(":",A35)+1,9)),"?")</f>
        <v>?</v>
      </c>
      <c r="I35" s="106" t="s">
        <v>144</v>
      </c>
      <c r="J35" s="106" t="s">
        <v>144</v>
      </c>
      <c r="K35" s="106" t="s">
        <v>144</v>
      </c>
      <c r="L35" s="106" t="s">
        <v>144</v>
      </c>
      <c r="M35" s="106" t="s">
        <v>144</v>
      </c>
      <c r="N35" s="342" t="s">
        <v>144</v>
      </c>
      <c r="O35" s="106"/>
      <c r="P35" s="106" t="s">
        <v>144</v>
      </c>
      <c r="Q35" s="106"/>
      <c r="R35" s="106" t="s">
        <v>144</v>
      </c>
      <c r="S35" s="106"/>
      <c r="T35" s="106" t="s">
        <v>144</v>
      </c>
      <c r="U35" s="106"/>
      <c r="V35" s="106" t="s">
        <v>144</v>
      </c>
      <c r="W35" s="106"/>
      <c r="X35" s="106"/>
      <c r="Y35" s="106" t="s">
        <v>144</v>
      </c>
      <c r="Z35" s="106" t="s">
        <v>144</v>
      </c>
      <c r="AA35" s="106" t="s">
        <v>144</v>
      </c>
      <c r="AB35" s="106" t="s">
        <v>144</v>
      </c>
      <c r="AC35" s="106" t="s">
        <v>144</v>
      </c>
      <c r="AD35" s="106" t="s">
        <v>144</v>
      </c>
    </row>
    <row r="36" spans="1:30" ht="25" x14ac:dyDescent="0.25">
      <c r="A36" s="212" t="s">
        <v>1114</v>
      </c>
      <c r="B36" s="39" t="s">
        <v>52</v>
      </c>
      <c r="C36" s="373" t="s">
        <v>1225</v>
      </c>
      <c r="D36" s="421" t="s">
        <v>1042</v>
      </c>
      <c r="E36" s="422"/>
      <c r="F36" s="301"/>
      <c r="G36" s="423"/>
      <c r="H36" s="287" t="str">
        <f>HYPERLINK(CONCATENATE("http://garwiki.regn.net/mediawiki/index.php/Scorecard_Rule_",MID(A36,FIND(":",A36)+1,9)),"?")</f>
        <v>?</v>
      </c>
      <c r="I36" s="106" t="s">
        <v>144</v>
      </c>
      <c r="J36" s="106" t="s">
        <v>144</v>
      </c>
      <c r="K36" s="106" t="s">
        <v>144</v>
      </c>
      <c r="L36" s="106" t="s">
        <v>144</v>
      </c>
      <c r="M36" s="106" t="s">
        <v>144</v>
      </c>
      <c r="N36" s="342" t="s">
        <v>144</v>
      </c>
      <c r="O36" s="106"/>
      <c r="P36" s="106" t="s">
        <v>144</v>
      </c>
      <c r="Q36" s="106"/>
      <c r="R36" s="106" t="s">
        <v>144</v>
      </c>
      <c r="S36" s="106"/>
      <c r="T36" s="106" t="s">
        <v>144</v>
      </c>
      <c r="U36" s="106"/>
      <c r="V36" s="106" t="s">
        <v>144</v>
      </c>
      <c r="W36" s="346"/>
      <c r="X36" s="346"/>
      <c r="Y36" s="106" t="s">
        <v>144</v>
      </c>
      <c r="Z36" s="106" t="s">
        <v>144</v>
      </c>
      <c r="AA36" s="106" t="s">
        <v>144</v>
      </c>
      <c r="AB36" s="106" t="s">
        <v>144</v>
      </c>
      <c r="AC36" s="106" t="s">
        <v>144</v>
      </c>
      <c r="AD36" s="106" t="s">
        <v>144</v>
      </c>
    </row>
    <row r="37" spans="1:30" ht="13" x14ac:dyDescent="0.25">
      <c r="A37" s="212" t="s">
        <v>503</v>
      </c>
      <c r="B37" s="137" t="s">
        <v>143</v>
      </c>
      <c r="C37" s="138" t="s">
        <v>1226</v>
      </c>
      <c r="D37" s="566" t="s">
        <v>1179</v>
      </c>
      <c r="E37" s="567"/>
      <c r="F37" s="567"/>
      <c r="G37" s="568"/>
      <c r="H37" s="287" t="str">
        <f>HYPERLINK(CONCATENATE("http://garwiki.regn.net/mediawiki/index.php/",SUBSTITUTE(D37," ","_"),"_(golden_rule)"),"?")</f>
        <v>?</v>
      </c>
      <c r="I37" s="130" t="str">
        <f>I38</f>
        <v>x</v>
      </c>
      <c r="J37" s="130" t="str">
        <f t="shared" ref="J37:AD37" si="19">J38</f>
        <v>x</v>
      </c>
      <c r="K37" s="130" t="str">
        <f>K38</f>
        <v>x</v>
      </c>
      <c r="L37" s="130" t="str">
        <f t="shared" si="19"/>
        <v>x</v>
      </c>
      <c r="M37" s="130" t="str">
        <f t="shared" si="19"/>
        <v>x</v>
      </c>
      <c r="N37" s="130" t="str">
        <f t="shared" si="19"/>
        <v>x</v>
      </c>
      <c r="O37" s="130" t="str">
        <f t="shared" si="19"/>
        <v/>
      </c>
      <c r="P37" s="130" t="str">
        <f t="shared" si="19"/>
        <v>x</v>
      </c>
      <c r="Q37" s="130" t="str">
        <f t="shared" si="19"/>
        <v/>
      </c>
      <c r="R37" s="130" t="str">
        <f t="shared" si="19"/>
        <v>x</v>
      </c>
      <c r="S37" s="130" t="str">
        <f t="shared" si="19"/>
        <v/>
      </c>
      <c r="T37" s="130" t="str">
        <f t="shared" si="19"/>
        <v>x</v>
      </c>
      <c r="U37" s="130" t="str">
        <f t="shared" si="19"/>
        <v/>
      </c>
      <c r="V37" s="130" t="str">
        <f t="shared" si="19"/>
        <v>x</v>
      </c>
      <c r="W37" s="130" t="str">
        <f t="shared" si="19"/>
        <v/>
      </c>
      <c r="X37" s="130" t="str">
        <f t="shared" si="19"/>
        <v/>
      </c>
      <c r="Y37" s="130" t="str">
        <f t="shared" si="19"/>
        <v>x</v>
      </c>
      <c r="Z37" s="130" t="str">
        <f t="shared" si="19"/>
        <v>x</v>
      </c>
      <c r="AA37" s="130" t="str">
        <f t="shared" si="19"/>
        <v>x</v>
      </c>
      <c r="AB37" s="130" t="str">
        <f t="shared" si="19"/>
        <v>x</v>
      </c>
      <c r="AC37" s="130" t="str">
        <f t="shared" si="19"/>
        <v>x</v>
      </c>
      <c r="AD37" s="130" t="str">
        <f t="shared" si="19"/>
        <v>x</v>
      </c>
    </row>
    <row r="38" spans="1:30" x14ac:dyDescent="0.25">
      <c r="A38" s="212"/>
      <c r="B38" s="569" t="s">
        <v>1179</v>
      </c>
      <c r="C38" s="572"/>
      <c r="D38" s="573"/>
      <c r="E38" s="179"/>
      <c r="F38" s="299" t="s">
        <v>31</v>
      </c>
      <c r="G38" s="151"/>
      <c r="H38" s="288"/>
      <c r="I38" s="105" t="str">
        <f>IF(COUNTIF(I39:I40,"x")=0,"","x")</f>
        <v>x</v>
      </c>
      <c r="J38" s="105" t="str">
        <f t="shared" ref="J38:AD38" si="20">IF(COUNTIF(J39:J40,"x")=0,"","x")</f>
        <v>x</v>
      </c>
      <c r="K38" s="105" t="str">
        <f t="shared" si="20"/>
        <v>x</v>
      </c>
      <c r="L38" s="105" t="str">
        <f t="shared" si="20"/>
        <v>x</v>
      </c>
      <c r="M38" s="105" t="str">
        <f t="shared" si="20"/>
        <v>x</v>
      </c>
      <c r="N38" s="105" t="str">
        <f t="shared" si="20"/>
        <v>x</v>
      </c>
      <c r="O38" s="105" t="str">
        <f t="shared" si="20"/>
        <v/>
      </c>
      <c r="P38" s="105" t="str">
        <f t="shared" si="20"/>
        <v>x</v>
      </c>
      <c r="Q38" s="105" t="str">
        <f t="shared" si="20"/>
        <v/>
      </c>
      <c r="R38" s="105" t="str">
        <f t="shared" si="20"/>
        <v>x</v>
      </c>
      <c r="S38" s="105" t="str">
        <f t="shared" si="20"/>
        <v/>
      </c>
      <c r="T38" s="105" t="str">
        <f t="shared" si="20"/>
        <v>x</v>
      </c>
      <c r="U38" s="105" t="str">
        <f t="shared" si="20"/>
        <v/>
      </c>
      <c r="V38" s="105" t="str">
        <f t="shared" si="20"/>
        <v>x</v>
      </c>
      <c r="W38" s="105" t="str">
        <f t="shared" si="20"/>
        <v/>
      </c>
      <c r="X38" s="105" t="str">
        <f t="shared" si="20"/>
        <v/>
      </c>
      <c r="Y38" s="105" t="str">
        <f t="shared" si="20"/>
        <v>x</v>
      </c>
      <c r="Z38" s="105" t="str">
        <f t="shared" si="20"/>
        <v>x</v>
      </c>
      <c r="AA38" s="105" t="str">
        <f t="shared" si="20"/>
        <v>x</v>
      </c>
      <c r="AB38" s="105" t="str">
        <f t="shared" si="20"/>
        <v>x</v>
      </c>
      <c r="AC38" s="105" t="str">
        <f t="shared" si="20"/>
        <v>x</v>
      </c>
      <c r="AD38" s="105" t="str">
        <f t="shared" si="20"/>
        <v>x</v>
      </c>
    </row>
    <row r="39" spans="1:30" x14ac:dyDescent="0.25">
      <c r="A39" s="212" t="s">
        <v>504</v>
      </c>
      <c r="B39" s="49" t="s">
        <v>52</v>
      </c>
      <c r="C39" s="373" t="s">
        <v>1227</v>
      </c>
      <c r="D39" s="38" t="s">
        <v>1045</v>
      </c>
      <c r="E39" s="144"/>
      <c r="F39" s="300"/>
      <c r="G39" s="146"/>
      <c r="H39" s="287" t="str">
        <f t="shared" ref="H39" si="21">HYPERLINK(CONCATENATE("http://garwiki.regn.net/mediawiki/index.php/Scorecard_Rule_",MID(A39,FIND(":",A39)+1,9)),"?")</f>
        <v>?</v>
      </c>
      <c r="I39" s="106" t="s">
        <v>144</v>
      </c>
      <c r="J39" s="106" t="s">
        <v>144</v>
      </c>
      <c r="K39" s="106" t="s">
        <v>144</v>
      </c>
      <c r="L39" s="106" t="s">
        <v>144</v>
      </c>
      <c r="M39" s="106" t="s">
        <v>144</v>
      </c>
      <c r="N39" s="342" t="s">
        <v>144</v>
      </c>
      <c r="O39" s="106"/>
      <c r="P39" s="106"/>
      <c r="Q39" s="106"/>
      <c r="R39" s="106"/>
      <c r="S39" s="106"/>
      <c r="T39" s="106"/>
      <c r="U39" s="106"/>
      <c r="V39" s="106"/>
      <c r="W39" s="106"/>
      <c r="X39" s="106"/>
      <c r="Y39" s="106" t="s">
        <v>144</v>
      </c>
      <c r="Z39" s="106" t="s">
        <v>144</v>
      </c>
      <c r="AA39" s="106" t="s">
        <v>144</v>
      </c>
      <c r="AB39" s="106" t="s">
        <v>144</v>
      </c>
      <c r="AC39" s="106" t="s">
        <v>144</v>
      </c>
      <c r="AD39" s="106" t="s">
        <v>144</v>
      </c>
    </row>
    <row r="40" spans="1:30" ht="37.5" x14ac:dyDescent="0.25">
      <c r="A40" s="212" t="s">
        <v>754</v>
      </c>
      <c r="B40" s="39" t="s">
        <v>52</v>
      </c>
      <c r="C40" s="373" t="s">
        <v>1228</v>
      </c>
      <c r="D40" s="5" t="s">
        <v>752</v>
      </c>
      <c r="E40" s="144"/>
      <c r="F40" s="301"/>
      <c r="G40" s="148"/>
      <c r="H40" s="287" t="str">
        <f>HYPERLINK(CONCATENATE("http://garwiki.regn.net/mediawiki/index.php/Scorecard_Rule_",MID(A40,FIND(":",A40)+1,9)),"?")</f>
        <v>?</v>
      </c>
      <c r="I40" s="106" t="s">
        <v>144</v>
      </c>
      <c r="J40" s="106" t="s">
        <v>144</v>
      </c>
      <c r="K40" s="106" t="s">
        <v>144</v>
      </c>
      <c r="L40" s="106" t="s">
        <v>144</v>
      </c>
      <c r="M40" s="106" t="s">
        <v>144</v>
      </c>
      <c r="N40" s="342" t="s">
        <v>144</v>
      </c>
      <c r="O40" s="106"/>
      <c r="P40" s="105" t="s">
        <v>144</v>
      </c>
      <c r="Q40" s="106"/>
      <c r="R40" s="105" t="s">
        <v>144</v>
      </c>
      <c r="S40" s="106"/>
      <c r="T40" s="105" t="s">
        <v>144</v>
      </c>
      <c r="U40" s="106"/>
      <c r="V40" s="105" t="s">
        <v>144</v>
      </c>
      <c r="W40" s="105"/>
      <c r="X40" s="105"/>
      <c r="Y40" s="106" t="s">
        <v>144</v>
      </c>
      <c r="Z40" s="106" t="s">
        <v>144</v>
      </c>
      <c r="AA40" s="106" t="s">
        <v>144</v>
      </c>
      <c r="AB40" s="106" t="s">
        <v>144</v>
      </c>
      <c r="AC40" s="106" t="s">
        <v>144</v>
      </c>
      <c r="AD40" s="106" t="s">
        <v>144</v>
      </c>
    </row>
    <row r="41" spans="1:30" ht="13" x14ac:dyDescent="0.25">
      <c r="A41" s="212" t="s">
        <v>505</v>
      </c>
      <c r="B41" s="137" t="s">
        <v>143</v>
      </c>
      <c r="C41" s="138" t="s">
        <v>1229</v>
      </c>
      <c r="D41" s="566" t="s">
        <v>1180</v>
      </c>
      <c r="E41" s="567"/>
      <c r="F41" s="567"/>
      <c r="G41" s="568"/>
      <c r="H41" s="287" t="str">
        <f>HYPERLINK(CONCATENATE("http://garwiki.regn.net/mediawiki/index.php/",SUBSTITUTE(D41," ","_"),"_(golden_rule)"),"?")</f>
        <v>?</v>
      </c>
      <c r="I41" s="130" t="str">
        <f>I42</f>
        <v/>
      </c>
      <c r="J41" s="130" t="str">
        <f t="shared" ref="J41:AD41" si="22">J42</f>
        <v>x</v>
      </c>
      <c r="K41" s="130" t="str">
        <f>K42</f>
        <v/>
      </c>
      <c r="L41" s="130" t="str">
        <f t="shared" si="22"/>
        <v>x</v>
      </c>
      <c r="M41" s="130" t="str">
        <f t="shared" si="22"/>
        <v/>
      </c>
      <c r="N41" s="130" t="str">
        <f t="shared" si="22"/>
        <v>x</v>
      </c>
      <c r="O41" s="130" t="str">
        <f t="shared" si="22"/>
        <v/>
      </c>
      <c r="P41" s="130" t="str">
        <f t="shared" si="22"/>
        <v>x</v>
      </c>
      <c r="Q41" s="130" t="str">
        <f t="shared" si="22"/>
        <v/>
      </c>
      <c r="R41" s="130" t="str">
        <f t="shared" si="22"/>
        <v>x</v>
      </c>
      <c r="S41" s="130" t="str">
        <f t="shared" si="22"/>
        <v/>
      </c>
      <c r="T41" s="130" t="str">
        <f t="shared" si="22"/>
        <v>x</v>
      </c>
      <c r="U41" s="130" t="str">
        <f t="shared" si="22"/>
        <v/>
      </c>
      <c r="V41" s="130" t="str">
        <f t="shared" si="22"/>
        <v>x</v>
      </c>
      <c r="W41" s="130" t="str">
        <f t="shared" si="22"/>
        <v/>
      </c>
      <c r="X41" s="130" t="str">
        <f t="shared" si="22"/>
        <v/>
      </c>
      <c r="Y41" s="130" t="str">
        <f t="shared" si="22"/>
        <v/>
      </c>
      <c r="Z41" s="130" t="str">
        <f t="shared" si="22"/>
        <v>x</v>
      </c>
      <c r="AA41" s="130" t="str">
        <f t="shared" si="22"/>
        <v/>
      </c>
      <c r="AB41" s="130" t="str">
        <f t="shared" si="22"/>
        <v>x</v>
      </c>
      <c r="AC41" s="130" t="str">
        <f t="shared" si="22"/>
        <v/>
      </c>
      <c r="AD41" s="130" t="str">
        <f t="shared" si="22"/>
        <v>x</v>
      </c>
    </row>
    <row r="42" spans="1:30" x14ac:dyDescent="0.25">
      <c r="A42" s="212"/>
      <c r="B42" s="569" t="s">
        <v>1180</v>
      </c>
      <c r="C42" s="572"/>
      <c r="D42" s="573"/>
      <c r="E42" s="179"/>
      <c r="F42" s="299" t="s">
        <v>31</v>
      </c>
      <c r="G42" s="151"/>
      <c r="H42" s="288"/>
      <c r="I42" s="105" t="str">
        <f>IF(COUNTIF(I43:I43,"x")=0,"","x")</f>
        <v/>
      </c>
      <c r="J42" s="105" t="str">
        <f t="shared" ref="J42:AD42" si="23">IF(COUNTIF(J43:J43,"x")=0,"","x")</f>
        <v>x</v>
      </c>
      <c r="K42" s="105" t="str">
        <f t="shared" si="23"/>
        <v/>
      </c>
      <c r="L42" s="105" t="str">
        <f t="shared" si="23"/>
        <v>x</v>
      </c>
      <c r="M42" s="105" t="str">
        <f t="shared" si="23"/>
        <v/>
      </c>
      <c r="N42" s="105" t="str">
        <f t="shared" si="23"/>
        <v>x</v>
      </c>
      <c r="O42" s="105" t="str">
        <f t="shared" si="23"/>
        <v/>
      </c>
      <c r="P42" s="105" t="str">
        <f t="shared" si="23"/>
        <v>x</v>
      </c>
      <c r="Q42" s="105" t="str">
        <f t="shared" si="23"/>
        <v/>
      </c>
      <c r="R42" s="105" t="str">
        <f t="shared" si="23"/>
        <v>x</v>
      </c>
      <c r="S42" s="105" t="str">
        <f t="shared" si="23"/>
        <v/>
      </c>
      <c r="T42" s="105" t="str">
        <f t="shared" si="23"/>
        <v>x</v>
      </c>
      <c r="U42" s="105" t="str">
        <f t="shared" si="23"/>
        <v/>
      </c>
      <c r="V42" s="105" t="str">
        <f t="shared" si="23"/>
        <v>x</v>
      </c>
      <c r="W42" s="105" t="str">
        <f t="shared" si="23"/>
        <v/>
      </c>
      <c r="X42" s="105" t="str">
        <f t="shared" si="23"/>
        <v/>
      </c>
      <c r="Y42" s="105" t="str">
        <f t="shared" si="23"/>
        <v/>
      </c>
      <c r="Z42" s="105" t="str">
        <f t="shared" si="23"/>
        <v>x</v>
      </c>
      <c r="AA42" s="105" t="str">
        <f t="shared" si="23"/>
        <v/>
      </c>
      <c r="AB42" s="105" t="str">
        <f t="shared" si="23"/>
        <v>x</v>
      </c>
      <c r="AC42" s="105" t="str">
        <f t="shared" si="23"/>
        <v/>
      </c>
      <c r="AD42" s="105" t="str">
        <f t="shared" si="23"/>
        <v>x</v>
      </c>
    </row>
    <row r="43" spans="1:30" ht="25" x14ac:dyDescent="0.25">
      <c r="A43" s="212" t="s">
        <v>506</v>
      </c>
      <c r="B43" s="49" t="s">
        <v>52</v>
      </c>
      <c r="C43" s="373" t="s">
        <v>1230</v>
      </c>
      <c r="D43" s="38" t="s">
        <v>1071</v>
      </c>
      <c r="E43" s="144"/>
      <c r="F43" s="300"/>
      <c r="G43" s="146"/>
      <c r="H43" s="287" t="str">
        <f t="shared" ref="H43" si="24">HYPERLINK(CONCATENATE("http://garwiki.regn.net/mediawiki/index.php/Scorecard_Rule_",MID(A43,FIND(":",A43)+1,9)),"?")</f>
        <v>?</v>
      </c>
      <c r="I43" s="105"/>
      <c r="J43" s="106" t="s">
        <v>144</v>
      </c>
      <c r="K43" s="105"/>
      <c r="L43" s="106" t="s">
        <v>144</v>
      </c>
      <c r="M43" s="135"/>
      <c r="N43" s="135" t="s">
        <v>144</v>
      </c>
      <c r="O43" s="106"/>
      <c r="P43" s="106" t="s">
        <v>144</v>
      </c>
      <c r="Q43" s="106"/>
      <c r="R43" s="106" t="s">
        <v>144</v>
      </c>
      <c r="S43" s="106"/>
      <c r="T43" s="106" t="s">
        <v>144</v>
      </c>
      <c r="U43" s="106"/>
      <c r="V43" s="106" t="s">
        <v>144</v>
      </c>
      <c r="W43" s="106"/>
      <c r="X43" s="106"/>
      <c r="Y43" s="106"/>
      <c r="Z43" s="105" t="s">
        <v>144</v>
      </c>
      <c r="AA43" s="105"/>
      <c r="AB43" s="105" t="s">
        <v>144</v>
      </c>
      <c r="AC43" s="106"/>
      <c r="AD43" s="105" t="s">
        <v>144</v>
      </c>
    </row>
    <row r="44" spans="1:30" ht="13" x14ac:dyDescent="0.25">
      <c r="A44" s="212" t="s">
        <v>507</v>
      </c>
      <c r="B44" s="137" t="s">
        <v>143</v>
      </c>
      <c r="C44" s="138" t="s">
        <v>1231</v>
      </c>
      <c r="D44" s="566" t="s">
        <v>1181</v>
      </c>
      <c r="E44" s="567"/>
      <c r="F44" s="567"/>
      <c r="G44" s="568"/>
      <c r="H44" s="287" t="str">
        <f>HYPERLINK(CONCATENATE("http://garwiki.regn.net/mediawiki/index.php/",SUBSTITUTE(D44," ","_"),"_(golden_rule)"),"?")</f>
        <v>?</v>
      </c>
      <c r="I44" s="130" t="str">
        <f>I45</f>
        <v/>
      </c>
      <c r="J44" s="130" t="str">
        <f t="shared" ref="J44:AD44" si="25">J45</f>
        <v>x</v>
      </c>
      <c r="K44" s="130" t="str">
        <f>K45</f>
        <v/>
      </c>
      <c r="L44" s="130" t="str">
        <f t="shared" si="25"/>
        <v>x</v>
      </c>
      <c r="M44" s="130" t="str">
        <f t="shared" si="25"/>
        <v/>
      </c>
      <c r="N44" s="130" t="str">
        <f t="shared" si="25"/>
        <v>x</v>
      </c>
      <c r="O44" s="130" t="str">
        <f t="shared" si="25"/>
        <v/>
      </c>
      <c r="P44" s="130" t="str">
        <f t="shared" si="25"/>
        <v>x</v>
      </c>
      <c r="Q44" s="130" t="str">
        <f t="shared" si="25"/>
        <v/>
      </c>
      <c r="R44" s="130" t="str">
        <f t="shared" si="25"/>
        <v>x</v>
      </c>
      <c r="S44" s="130" t="str">
        <f t="shared" si="25"/>
        <v/>
      </c>
      <c r="T44" s="130" t="str">
        <f t="shared" si="25"/>
        <v>x</v>
      </c>
      <c r="U44" s="130" t="str">
        <f t="shared" si="25"/>
        <v/>
      </c>
      <c r="V44" s="130" t="str">
        <f t="shared" si="25"/>
        <v>x</v>
      </c>
      <c r="W44" s="130" t="str">
        <f t="shared" si="25"/>
        <v/>
      </c>
      <c r="X44" s="130" t="str">
        <f t="shared" si="25"/>
        <v/>
      </c>
      <c r="Y44" s="130" t="str">
        <f t="shared" si="25"/>
        <v/>
      </c>
      <c r="Z44" s="130" t="str">
        <f t="shared" si="25"/>
        <v>x</v>
      </c>
      <c r="AA44" s="130" t="str">
        <f t="shared" si="25"/>
        <v/>
      </c>
      <c r="AB44" s="130" t="str">
        <f t="shared" si="25"/>
        <v>x</v>
      </c>
      <c r="AC44" s="130" t="str">
        <f t="shared" si="25"/>
        <v/>
      </c>
      <c r="AD44" s="130" t="str">
        <f t="shared" si="25"/>
        <v>x</v>
      </c>
    </row>
    <row r="45" spans="1:30" ht="25.5" customHeight="1" x14ac:dyDescent="0.25">
      <c r="A45" s="212"/>
      <c r="B45" s="569" t="s">
        <v>1181</v>
      </c>
      <c r="C45" s="572"/>
      <c r="D45" s="573"/>
      <c r="E45" s="179"/>
      <c r="F45" s="299" t="s">
        <v>31</v>
      </c>
      <c r="G45" s="151"/>
      <c r="H45" s="288"/>
      <c r="I45" s="105" t="str">
        <f t="shared" ref="I45:AD45" si="26">IF(COUNTIF(I46:I47,"x")=0,"","x")</f>
        <v/>
      </c>
      <c r="J45" s="105" t="str">
        <f t="shared" si="26"/>
        <v>x</v>
      </c>
      <c r="K45" s="105" t="str">
        <f t="shared" si="26"/>
        <v/>
      </c>
      <c r="L45" s="105" t="str">
        <f t="shared" si="26"/>
        <v>x</v>
      </c>
      <c r="M45" s="105" t="str">
        <f t="shared" si="26"/>
        <v/>
      </c>
      <c r="N45" s="105" t="str">
        <f t="shared" si="26"/>
        <v>x</v>
      </c>
      <c r="O45" s="105" t="str">
        <f t="shared" si="26"/>
        <v/>
      </c>
      <c r="P45" s="105" t="str">
        <f t="shared" si="26"/>
        <v>x</v>
      </c>
      <c r="Q45" s="105" t="str">
        <f t="shared" si="26"/>
        <v/>
      </c>
      <c r="R45" s="105" t="str">
        <f t="shared" si="26"/>
        <v>x</v>
      </c>
      <c r="S45" s="105" t="str">
        <f t="shared" si="26"/>
        <v/>
      </c>
      <c r="T45" s="105" t="str">
        <f t="shared" si="26"/>
        <v>x</v>
      </c>
      <c r="U45" s="105" t="str">
        <f t="shared" si="26"/>
        <v/>
      </c>
      <c r="V45" s="105" t="str">
        <f t="shared" si="26"/>
        <v>x</v>
      </c>
      <c r="W45" s="105" t="str">
        <f t="shared" si="26"/>
        <v/>
      </c>
      <c r="X45" s="105" t="str">
        <f t="shared" si="26"/>
        <v/>
      </c>
      <c r="Y45" s="105" t="str">
        <f t="shared" si="26"/>
        <v/>
      </c>
      <c r="Z45" s="105" t="str">
        <f t="shared" si="26"/>
        <v>x</v>
      </c>
      <c r="AA45" s="105" t="str">
        <f t="shared" si="26"/>
        <v/>
      </c>
      <c r="AB45" s="105" t="str">
        <f t="shared" si="26"/>
        <v>x</v>
      </c>
      <c r="AC45" s="105" t="str">
        <f t="shared" si="26"/>
        <v/>
      </c>
      <c r="AD45" s="105" t="str">
        <f t="shared" si="26"/>
        <v>x</v>
      </c>
    </row>
    <row r="46" spans="1:30" ht="25" x14ac:dyDescent="0.25">
      <c r="A46" s="212" t="s">
        <v>508</v>
      </c>
      <c r="B46" s="49" t="s">
        <v>52</v>
      </c>
      <c r="C46" s="373" t="s">
        <v>1232</v>
      </c>
      <c r="D46" s="38" t="s">
        <v>1046</v>
      </c>
      <c r="E46" s="144"/>
      <c r="F46" s="300"/>
      <c r="G46" s="146"/>
      <c r="H46" s="287" t="str">
        <f t="shared" ref="H46" si="27">HYPERLINK(CONCATENATE("http://garwiki.regn.net/mediawiki/index.php/Scorecard_Rule_",MID(A46,FIND(":",A46)+1,9)),"?")</f>
        <v>?</v>
      </c>
      <c r="I46" s="105"/>
      <c r="J46" s="106" t="s">
        <v>144</v>
      </c>
      <c r="K46" s="105"/>
      <c r="L46" s="106" t="s">
        <v>144</v>
      </c>
      <c r="M46" s="135"/>
      <c r="N46" s="135" t="s">
        <v>144</v>
      </c>
      <c r="O46" s="106"/>
      <c r="P46" s="106" t="s">
        <v>144</v>
      </c>
      <c r="Q46" s="106"/>
      <c r="R46" s="106" t="s">
        <v>144</v>
      </c>
      <c r="S46" s="106"/>
      <c r="T46" s="106" t="s">
        <v>144</v>
      </c>
      <c r="U46" s="106"/>
      <c r="V46" s="106" t="s">
        <v>144</v>
      </c>
      <c r="W46" s="106"/>
      <c r="X46" s="106"/>
      <c r="Y46" s="106"/>
      <c r="Z46" s="105" t="s">
        <v>144</v>
      </c>
      <c r="AA46" s="105"/>
      <c r="AB46" s="105" t="s">
        <v>144</v>
      </c>
      <c r="AC46" s="106"/>
      <c r="AD46" s="105" t="s">
        <v>144</v>
      </c>
    </row>
    <row r="47" spans="1:30" ht="50" x14ac:dyDescent="0.25">
      <c r="A47" s="212" t="s">
        <v>827</v>
      </c>
      <c r="B47" s="39" t="s">
        <v>52</v>
      </c>
      <c r="C47" s="373" t="s">
        <v>1233</v>
      </c>
      <c r="D47" s="5" t="s">
        <v>1047</v>
      </c>
      <c r="E47" s="144"/>
      <c r="F47" s="301"/>
      <c r="G47" s="148"/>
      <c r="H47" s="287" t="str">
        <f>HYPERLINK(CONCATENATE("http://garwiki.regn.net/mediawiki/index.php/Scorecard_Rule_",MID(A47,FIND(":",A47)+1,9)),"?")</f>
        <v>?</v>
      </c>
      <c r="I47" s="105"/>
      <c r="J47" s="105" t="s">
        <v>144</v>
      </c>
      <c r="K47" s="105"/>
      <c r="L47" s="105" t="s">
        <v>144</v>
      </c>
      <c r="M47" s="307"/>
      <c r="N47" s="307" t="s">
        <v>144</v>
      </c>
      <c r="O47" s="106"/>
      <c r="P47" s="105" t="s">
        <v>144</v>
      </c>
      <c r="Q47" s="106"/>
      <c r="R47" s="105" t="s">
        <v>144</v>
      </c>
      <c r="S47" s="106"/>
      <c r="T47" s="105" t="s">
        <v>144</v>
      </c>
      <c r="U47" s="106"/>
      <c r="V47" s="105" t="s">
        <v>144</v>
      </c>
      <c r="W47" s="105"/>
      <c r="X47" s="105"/>
      <c r="Y47" s="106"/>
      <c r="Z47" s="105" t="s">
        <v>144</v>
      </c>
      <c r="AA47" s="105"/>
      <c r="AB47" s="105" t="s">
        <v>144</v>
      </c>
      <c r="AC47" s="106"/>
      <c r="AD47" s="105" t="s">
        <v>144</v>
      </c>
    </row>
    <row r="48" spans="1:30" ht="13" x14ac:dyDescent="0.25">
      <c r="A48" s="212" t="s">
        <v>509</v>
      </c>
      <c r="B48" s="137" t="s">
        <v>143</v>
      </c>
      <c r="C48" s="138" t="s">
        <v>1234</v>
      </c>
      <c r="D48" s="566" t="s">
        <v>1182</v>
      </c>
      <c r="E48" s="567"/>
      <c r="F48" s="567"/>
      <c r="G48" s="568"/>
      <c r="H48" s="287" t="str">
        <f>HYPERLINK(CONCATENATE("http://garwiki.regn.net/mediawiki/index.php/",SUBSTITUTE(D48," ","_"),"_(golden_rule)"),"?")</f>
        <v>?</v>
      </c>
      <c r="I48" s="130" t="str">
        <f>I49</f>
        <v/>
      </c>
      <c r="J48" s="130" t="str">
        <f t="shared" ref="J48:AD48" si="28">J49</f>
        <v>x</v>
      </c>
      <c r="K48" s="130" t="str">
        <f>K49</f>
        <v/>
      </c>
      <c r="L48" s="130" t="str">
        <f t="shared" si="28"/>
        <v>x</v>
      </c>
      <c r="M48" s="130" t="str">
        <f t="shared" si="28"/>
        <v/>
      </c>
      <c r="N48" s="130" t="str">
        <f t="shared" si="28"/>
        <v>x</v>
      </c>
      <c r="O48" s="130" t="str">
        <f t="shared" si="28"/>
        <v/>
      </c>
      <c r="P48" s="130" t="str">
        <f t="shared" si="28"/>
        <v>x</v>
      </c>
      <c r="Q48" s="130" t="str">
        <f t="shared" si="28"/>
        <v/>
      </c>
      <c r="R48" s="130" t="str">
        <f t="shared" si="28"/>
        <v>x</v>
      </c>
      <c r="S48" s="130" t="str">
        <f t="shared" si="28"/>
        <v/>
      </c>
      <c r="T48" s="130" t="str">
        <f t="shared" si="28"/>
        <v>x</v>
      </c>
      <c r="U48" s="130" t="str">
        <f t="shared" si="28"/>
        <v/>
      </c>
      <c r="V48" s="130" t="str">
        <f t="shared" si="28"/>
        <v>x</v>
      </c>
      <c r="W48" s="130" t="str">
        <f t="shared" si="28"/>
        <v/>
      </c>
      <c r="X48" s="130" t="str">
        <f t="shared" si="28"/>
        <v/>
      </c>
      <c r="Y48" s="130" t="str">
        <f t="shared" si="28"/>
        <v/>
      </c>
      <c r="Z48" s="130" t="str">
        <f t="shared" si="28"/>
        <v>x</v>
      </c>
      <c r="AA48" s="130" t="str">
        <f t="shared" si="28"/>
        <v/>
      </c>
      <c r="AB48" s="130" t="str">
        <f t="shared" si="28"/>
        <v>x</v>
      </c>
      <c r="AC48" s="130" t="str">
        <f t="shared" si="28"/>
        <v/>
      </c>
      <c r="AD48" s="130" t="str">
        <f t="shared" si="28"/>
        <v>x</v>
      </c>
    </row>
    <row r="49" spans="1:30" x14ac:dyDescent="0.25">
      <c r="A49" s="212"/>
      <c r="B49" s="569" t="s">
        <v>1182</v>
      </c>
      <c r="C49" s="572"/>
      <c r="D49" s="573"/>
      <c r="E49" s="179"/>
      <c r="F49" s="299" t="s">
        <v>31</v>
      </c>
      <c r="G49" s="151"/>
      <c r="H49" s="288"/>
      <c r="I49" s="105" t="str">
        <f t="shared" ref="I49:AD49" si="29">IF(COUNTIF(I50:I53,"x")=0,"","x")</f>
        <v/>
      </c>
      <c r="J49" s="105" t="str">
        <f t="shared" si="29"/>
        <v>x</v>
      </c>
      <c r="K49" s="105" t="str">
        <f t="shared" si="29"/>
        <v/>
      </c>
      <c r="L49" s="105" t="str">
        <f t="shared" si="29"/>
        <v>x</v>
      </c>
      <c r="M49" s="105" t="str">
        <f t="shared" si="29"/>
        <v/>
      </c>
      <c r="N49" s="105" t="str">
        <f t="shared" si="29"/>
        <v>x</v>
      </c>
      <c r="O49" s="105" t="str">
        <f t="shared" si="29"/>
        <v/>
      </c>
      <c r="P49" s="105" t="str">
        <f t="shared" si="29"/>
        <v>x</v>
      </c>
      <c r="Q49" s="105" t="str">
        <f t="shared" si="29"/>
        <v/>
      </c>
      <c r="R49" s="105" t="str">
        <f t="shared" si="29"/>
        <v>x</v>
      </c>
      <c r="S49" s="105" t="str">
        <f t="shared" si="29"/>
        <v/>
      </c>
      <c r="T49" s="105" t="str">
        <f t="shared" si="29"/>
        <v>x</v>
      </c>
      <c r="U49" s="105" t="str">
        <f t="shared" si="29"/>
        <v/>
      </c>
      <c r="V49" s="105" t="str">
        <f t="shared" si="29"/>
        <v>x</v>
      </c>
      <c r="W49" s="105" t="str">
        <f t="shared" si="29"/>
        <v/>
      </c>
      <c r="X49" s="105" t="str">
        <f t="shared" si="29"/>
        <v/>
      </c>
      <c r="Y49" s="105" t="str">
        <f t="shared" si="29"/>
        <v/>
      </c>
      <c r="Z49" s="105" t="str">
        <f t="shared" si="29"/>
        <v>x</v>
      </c>
      <c r="AA49" s="105" t="str">
        <f t="shared" si="29"/>
        <v/>
      </c>
      <c r="AB49" s="105" t="str">
        <f t="shared" si="29"/>
        <v>x</v>
      </c>
      <c r="AC49" s="105" t="str">
        <f t="shared" si="29"/>
        <v/>
      </c>
      <c r="AD49" s="105" t="str">
        <f t="shared" si="29"/>
        <v>x</v>
      </c>
    </row>
    <row r="50" spans="1:30" x14ac:dyDescent="0.25">
      <c r="A50" s="212" t="s">
        <v>510</v>
      </c>
      <c r="B50" s="49" t="s">
        <v>52</v>
      </c>
      <c r="C50" s="373" t="s">
        <v>1235</v>
      </c>
      <c r="D50" s="38" t="s">
        <v>1048</v>
      </c>
      <c r="E50" s="144"/>
      <c r="F50" s="300"/>
      <c r="G50" s="146"/>
      <c r="H50" s="287" t="str">
        <f>HYPERLINK(CONCATENATE("http://garwiki.regn.net/mediawiki/index.php/Scorecard_Rule_",MID(A50,FIND(":",A50)+1,9)),"?")</f>
        <v>?</v>
      </c>
      <c r="I50" s="365"/>
      <c r="J50" s="346" t="s">
        <v>144</v>
      </c>
      <c r="K50" s="365"/>
      <c r="L50" s="346" t="s">
        <v>144</v>
      </c>
      <c r="M50" s="365"/>
      <c r="N50" s="425" t="s">
        <v>144</v>
      </c>
      <c r="O50" s="454"/>
      <c r="P50" s="346" t="s">
        <v>144</v>
      </c>
      <c r="Q50" s="454"/>
      <c r="R50" s="346" t="s">
        <v>144</v>
      </c>
      <c r="S50" s="454"/>
      <c r="T50" s="346" t="s">
        <v>144</v>
      </c>
      <c r="U50" s="454"/>
      <c r="V50" s="346" t="s">
        <v>144</v>
      </c>
      <c r="W50" s="346"/>
      <c r="X50" s="346"/>
      <c r="Y50" s="346"/>
      <c r="Z50" s="454" t="s">
        <v>144</v>
      </c>
      <c r="AA50" s="346"/>
      <c r="AB50" s="454" t="s">
        <v>144</v>
      </c>
      <c r="AC50" s="346"/>
      <c r="AD50" s="454" t="s">
        <v>144</v>
      </c>
    </row>
    <row r="51" spans="1:30" x14ac:dyDescent="0.25">
      <c r="A51" s="212" t="s">
        <v>753</v>
      </c>
      <c r="B51" s="39" t="s">
        <v>52</v>
      </c>
      <c r="C51" s="373" t="s">
        <v>1236</v>
      </c>
      <c r="D51" s="70" t="s">
        <v>1049</v>
      </c>
      <c r="E51" s="144"/>
      <c r="F51" s="300"/>
      <c r="G51" s="146"/>
      <c r="H51" s="287" t="str">
        <f>HYPERLINK(CONCATENATE("http://garwiki.regn.net/mediawiki/index.php/Scorecard_Rule_",MID(A51,FIND(":",A51)+1,9)),"?")</f>
        <v>?</v>
      </c>
      <c r="I51" s="365"/>
      <c r="J51" s="346" t="s">
        <v>144</v>
      </c>
      <c r="K51" s="365"/>
      <c r="L51" s="346" t="s">
        <v>144</v>
      </c>
      <c r="M51" s="365"/>
      <c r="N51" s="425" t="s">
        <v>144</v>
      </c>
      <c r="O51" s="365"/>
      <c r="P51" s="345" t="s">
        <v>144</v>
      </c>
      <c r="Q51" s="365"/>
      <c r="R51" s="345" t="s">
        <v>144</v>
      </c>
      <c r="S51" s="365"/>
      <c r="T51" s="345" t="s">
        <v>144</v>
      </c>
      <c r="U51" s="365"/>
      <c r="V51" s="345" t="s">
        <v>144</v>
      </c>
      <c r="W51" s="345"/>
      <c r="X51" s="345"/>
      <c r="Y51" s="346"/>
      <c r="Z51" s="454" t="s">
        <v>144</v>
      </c>
      <c r="AA51" s="346"/>
      <c r="AB51" s="454" t="s">
        <v>144</v>
      </c>
      <c r="AC51" s="346"/>
      <c r="AD51" s="454" t="s">
        <v>144</v>
      </c>
    </row>
    <row r="52" spans="1:30" x14ac:dyDescent="0.25">
      <c r="A52" s="212" t="s">
        <v>1115</v>
      </c>
      <c r="B52" s="39" t="s">
        <v>52</v>
      </c>
      <c r="C52" s="373" t="s">
        <v>1237</v>
      </c>
      <c r="D52" s="349" t="s">
        <v>1050</v>
      </c>
      <c r="E52" s="351"/>
      <c r="F52" s="424"/>
      <c r="G52" s="406"/>
      <c r="H52" s="287" t="str">
        <f>HYPERLINK(CONCATENATE("http://garwiki.regn.net/mediawiki/index.php/Scorecard_Rule_",MID(A52,FIND(":",A52)+1,9)),"?")</f>
        <v>?</v>
      </c>
      <c r="I52" s="365"/>
      <c r="J52" s="346" t="s">
        <v>144</v>
      </c>
      <c r="K52" s="365"/>
      <c r="L52" s="346" t="s">
        <v>144</v>
      </c>
      <c r="M52" s="365"/>
      <c r="N52" s="425" t="s">
        <v>144</v>
      </c>
      <c r="O52" s="365"/>
      <c r="P52" s="345" t="s">
        <v>144</v>
      </c>
      <c r="Q52" s="365"/>
      <c r="R52" s="345" t="s">
        <v>144</v>
      </c>
      <c r="S52" s="365"/>
      <c r="T52" s="345" t="s">
        <v>144</v>
      </c>
      <c r="U52" s="365"/>
      <c r="V52" s="345" t="s">
        <v>144</v>
      </c>
      <c r="W52" s="345"/>
      <c r="X52" s="345"/>
      <c r="Y52" s="346"/>
      <c r="Z52" s="454" t="s">
        <v>144</v>
      </c>
      <c r="AA52" s="346"/>
      <c r="AB52" s="454" t="s">
        <v>144</v>
      </c>
      <c r="AC52" s="346"/>
      <c r="AD52" s="454" t="s">
        <v>144</v>
      </c>
    </row>
    <row r="53" spans="1:30" ht="37.5" x14ac:dyDescent="0.25">
      <c r="A53" s="212" t="s">
        <v>944</v>
      </c>
      <c r="B53" s="39" t="s">
        <v>52</v>
      </c>
      <c r="C53" s="373" t="s">
        <v>1238</v>
      </c>
      <c r="D53" s="70" t="s">
        <v>1065</v>
      </c>
      <c r="E53" s="144"/>
      <c r="F53" s="300"/>
      <c r="G53" s="146"/>
      <c r="H53" s="287" t="str">
        <f>HYPERLINK(CONCATENATE("http://garwiki.regn.net/mediawiki/index.php/Scorecard_Rule_",MID(A53,FIND(":",A53)+1,9)),"?")</f>
        <v>?</v>
      </c>
      <c r="I53" s="346"/>
      <c r="J53" s="346" t="s">
        <v>144</v>
      </c>
      <c r="K53" s="346"/>
      <c r="L53" s="346" t="s">
        <v>144</v>
      </c>
      <c r="M53" s="346"/>
      <c r="N53" s="425" t="s">
        <v>144</v>
      </c>
      <c r="O53" s="346"/>
      <c r="P53" s="345" t="s">
        <v>144</v>
      </c>
      <c r="Q53" s="346"/>
      <c r="R53" s="345" t="s">
        <v>144</v>
      </c>
      <c r="S53" s="346"/>
      <c r="T53" s="345" t="s">
        <v>144</v>
      </c>
      <c r="U53" s="346"/>
      <c r="V53" s="345" t="s">
        <v>144</v>
      </c>
      <c r="W53" s="345"/>
      <c r="X53" s="345"/>
      <c r="Y53" s="346"/>
      <c r="Z53" s="454" t="s">
        <v>144</v>
      </c>
      <c r="AA53" s="346"/>
      <c r="AB53" s="454" t="s">
        <v>144</v>
      </c>
      <c r="AC53" s="346"/>
      <c r="AD53" s="454" t="s">
        <v>144</v>
      </c>
    </row>
    <row r="54" spans="1:30" ht="13" x14ac:dyDescent="0.25">
      <c r="A54" s="212" t="s">
        <v>821</v>
      </c>
      <c r="B54" s="132" t="s">
        <v>143</v>
      </c>
      <c r="C54" s="131" t="s">
        <v>1241</v>
      </c>
      <c r="D54" s="574" t="s">
        <v>1183</v>
      </c>
      <c r="E54" s="575"/>
      <c r="F54" s="575"/>
      <c r="G54" s="576"/>
      <c r="H54" s="287" t="str">
        <f>HYPERLINK(CONCATENATE("http://garwiki.regn.net/mediawiki/index.php/",SUBSTITUTE(D54," ","_"),"_(golden_rule)"),"?")</f>
        <v>?</v>
      </c>
      <c r="I54" s="130" t="str">
        <f>I55</f>
        <v/>
      </c>
      <c r="J54" s="130" t="str">
        <f t="shared" ref="J54:AD54" si="30">J55</f>
        <v>x</v>
      </c>
      <c r="K54" s="130" t="str">
        <f>K55</f>
        <v/>
      </c>
      <c r="L54" s="130" t="str">
        <f t="shared" si="30"/>
        <v>x</v>
      </c>
      <c r="M54" s="130" t="str">
        <f t="shared" si="30"/>
        <v/>
      </c>
      <c r="N54" s="130" t="str">
        <f t="shared" si="30"/>
        <v>x</v>
      </c>
      <c r="O54" s="130" t="str">
        <f t="shared" si="30"/>
        <v/>
      </c>
      <c r="P54" s="130" t="str">
        <f t="shared" si="30"/>
        <v>x</v>
      </c>
      <c r="Q54" s="130" t="str">
        <f t="shared" si="30"/>
        <v/>
      </c>
      <c r="R54" s="130" t="str">
        <f t="shared" si="30"/>
        <v>x</v>
      </c>
      <c r="S54" s="130" t="str">
        <f t="shared" si="30"/>
        <v/>
      </c>
      <c r="T54" s="130" t="str">
        <f t="shared" si="30"/>
        <v>x</v>
      </c>
      <c r="U54" s="130" t="str">
        <f t="shared" si="30"/>
        <v/>
      </c>
      <c r="V54" s="130" t="str">
        <f t="shared" si="30"/>
        <v>x</v>
      </c>
      <c r="W54" s="130" t="str">
        <f t="shared" si="30"/>
        <v/>
      </c>
      <c r="X54" s="130" t="str">
        <f t="shared" si="30"/>
        <v/>
      </c>
      <c r="Y54" s="130" t="str">
        <f t="shared" si="30"/>
        <v/>
      </c>
      <c r="Z54" s="130" t="str">
        <f t="shared" si="30"/>
        <v>x</v>
      </c>
      <c r="AA54" s="130" t="str">
        <f t="shared" si="30"/>
        <v/>
      </c>
      <c r="AB54" s="130" t="str">
        <f t="shared" si="30"/>
        <v>x</v>
      </c>
      <c r="AC54" s="130" t="str">
        <f t="shared" si="30"/>
        <v/>
      </c>
      <c r="AD54" s="130" t="str">
        <f t="shared" si="30"/>
        <v>x</v>
      </c>
    </row>
    <row r="55" spans="1:30" x14ac:dyDescent="0.25">
      <c r="A55" s="212"/>
      <c r="B55" s="569" t="s">
        <v>1183</v>
      </c>
      <c r="C55" s="572"/>
      <c r="D55" s="573"/>
      <c r="E55" s="179"/>
      <c r="F55" s="299" t="s">
        <v>31</v>
      </c>
      <c r="G55" s="119"/>
      <c r="H55" s="287"/>
      <c r="I55" s="105" t="str">
        <f>IF(COUNTIF(I56:I57,"x")=0,"","x")</f>
        <v/>
      </c>
      <c r="J55" s="105" t="str">
        <f t="shared" ref="J55:AD55" si="31">IF(COUNTIF(J56:J57,"x")=0,"","x")</f>
        <v>x</v>
      </c>
      <c r="K55" s="105" t="str">
        <f t="shared" si="31"/>
        <v/>
      </c>
      <c r="L55" s="105" t="str">
        <f t="shared" si="31"/>
        <v>x</v>
      </c>
      <c r="M55" s="105" t="str">
        <f t="shared" si="31"/>
        <v/>
      </c>
      <c r="N55" s="105" t="str">
        <f t="shared" si="31"/>
        <v>x</v>
      </c>
      <c r="O55" s="105" t="str">
        <f t="shared" si="31"/>
        <v/>
      </c>
      <c r="P55" s="105" t="str">
        <f t="shared" si="31"/>
        <v>x</v>
      </c>
      <c r="Q55" s="105" t="str">
        <f t="shared" si="31"/>
        <v/>
      </c>
      <c r="R55" s="105" t="str">
        <f t="shared" si="31"/>
        <v>x</v>
      </c>
      <c r="S55" s="105" t="str">
        <f t="shared" si="31"/>
        <v/>
      </c>
      <c r="T55" s="105" t="str">
        <f t="shared" si="31"/>
        <v>x</v>
      </c>
      <c r="U55" s="105" t="str">
        <f t="shared" si="31"/>
        <v/>
      </c>
      <c r="V55" s="105" t="str">
        <f t="shared" si="31"/>
        <v>x</v>
      </c>
      <c r="W55" s="105" t="str">
        <f t="shared" si="31"/>
        <v/>
      </c>
      <c r="X55" s="105" t="str">
        <f t="shared" si="31"/>
        <v/>
      </c>
      <c r="Y55" s="105" t="str">
        <f t="shared" si="31"/>
        <v/>
      </c>
      <c r="Z55" s="105" t="str">
        <f t="shared" si="31"/>
        <v>x</v>
      </c>
      <c r="AA55" s="105" t="str">
        <f t="shared" si="31"/>
        <v/>
      </c>
      <c r="AB55" s="105" t="str">
        <f t="shared" si="31"/>
        <v>x</v>
      </c>
      <c r="AC55" s="105" t="str">
        <f t="shared" si="31"/>
        <v/>
      </c>
      <c r="AD55" s="105" t="str">
        <f t="shared" si="31"/>
        <v>x</v>
      </c>
    </row>
    <row r="56" spans="1:30" x14ac:dyDescent="0.25">
      <c r="A56" s="212" t="s">
        <v>829</v>
      </c>
      <c r="B56" s="39" t="s">
        <v>52</v>
      </c>
      <c r="C56" s="373" t="s">
        <v>1239</v>
      </c>
      <c r="D56" s="5" t="s">
        <v>1051</v>
      </c>
      <c r="E56" s="144"/>
      <c r="F56" s="301"/>
      <c r="G56" s="148"/>
      <c r="H56" s="287" t="str">
        <f>HYPERLINK(CONCATENATE("http://garwiki.regn.net/mediawiki/index.php/Scorecard_Rule_",MID(A56,FIND(":",A56)+1,9)),"?")</f>
        <v>?</v>
      </c>
      <c r="I56" s="105"/>
      <c r="J56" s="105" t="s">
        <v>144</v>
      </c>
      <c r="K56" s="105"/>
      <c r="L56" s="105" t="s">
        <v>144</v>
      </c>
      <c r="M56" s="342"/>
      <c r="N56" s="342" t="s">
        <v>144</v>
      </c>
      <c r="O56" s="106"/>
      <c r="P56" s="105" t="s">
        <v>144</v>
      </c>
      <c r="Q56" s="106"/>
      <c r="R56" s="105" t="s">
        <v>144</v>
      </c>
      <c r="S56" s="106"/>
      <c r="T56" s="105" t="s">
        <v>144</v>
      </c>
      <c r="U56" s="106"/>
      <c r="V56" s="105" t="s">
        <v>144</v>
      </c>
      <c r="W56" s="105"/>
      <c r="X56" s="105"/>
      <c r="Y56" s="106"/>
      <c r="Z56" s="105" t="s">
        <v>144</v>
      </c>
      <c r="AA56" s="105"/>
      <c r="AB56" s="105" t="s">
        <v>144</v>
      </c>
      <c r="AC56" s="106"/>
      <c r="AD56" s="105" t="s">
        <v>144</v>
      </c>
    </row>
    <row r="57" spans="1:30" ht="25" x14ac:dyDescent="0.25">
      <c r="A57" s="212" t="s">
        <v>828</v>
      </c>
      <c r="B57" s="39" t="s">
        <v>52</v>
      </c>
      <c r="C57" s="373" t="s">
        <v>1240</v>
      </c>
      <c r="D57" s="5" t="s">
        <v>1052</v>
      </c>
      <c r="E57" s="144"/>
      <c r="F57" s="301"/>
      <c r="G57" s="148"/>
      <c r="H57" s="287" t="str">
        <f>HYPERLINK(CONCATENATE("http://garwiki.regn.net/mediawiki/index.php/Scorecard_Rule_",MID(A57,FIND(":",A57)+1,9)),"?")</f>
        <v>?</v>
      </c>
      <c r="I57" s="105"/>
      <c r="J57" s="105" t="s">
        <v>144</v>
      </c>
      <c r="K57" s="105"/>
      <c r="L57" s="105" t="s">
        <v>144</v>
      </c>
      <c r="M57" s="307"/>
      <c r="N57" s="307" t="s">
        <v>144</v>
      </c>
      <c r="O57" s="106"/>
      <c r="P57" s="105" t="s">
        <v>144</v>
      </c>
      <c r="Q57" s="106"/>
      <c r="R57" s="105" t="s">
        <v>144</v>
      </c>
      <c r="S57" s="106"/>
      <c r="T57" s="105" t="s">
        <v>144</v>
      </c>
      <c r="U57" s="106"/>
      <c r="V57" s="105" t="s">
        <v>144</v>
      </c>
      <c r="W57" s="105"/>
      <c r="X57" s="105"/>
      <c r="Y57" s="106"/>
      <c r="Z57" s="105" t="s">
        <v>144</v>
      </c>
      <c r="AA57" s="105"/>
      <c r="AB57" s="105" t="s">
        <v>144</v>
      </c>
      <c r="AC57" s="106"/>
      <c r="AD57" s="105" t="s">
        <v>144</v>
      </c>
    </row>
    <row r="58" spans="1:30" ht="13" x14ac:dyDescent="0.25">
      <c r="A58" s="212" t="s">
        <v>822</v>
      </c>
      <c r="B58" s="132" t="s">
        <v>143</v>
      </c>
      <c r="C58" s="131" t="s">
        <v>1242</v>
      </c>
      <c r="D58" s="574" t="s">
        <v>1184</v>
      </c>
      <c r="E58" s="575"/>
      <c r="F58" s="575"/>
      <c r="G58" s="576"/>
      <c r="H58" s="287" t="str">
        <f>HYPERLINK(CONCATENATE("http://garwiki.regn.net/mediawiki/index.php/",SUBSTITUTE(D58," ","_"),"_(golden_rule)"),"?")</f>
        <v>?</v>
      </c>
      <c r="I58" s="130" t="str">
        <f>I59</f>
        <v/>
      </c>
      <c r="J58" s="130" t="str">
        <f t="shared" ref="J58:AD58" si="32">J59</f>
        <v>x</v>
      </c>
      <c r="K58" s="130" t="str">
        <f>K59</f>
        <v/>
      </c>
      <c r="L58" s="130" t="str">
        <f t="shared" si="32"/>
        <v>x</v>
      </c>
      <c r="M58" s="130" t="str">
        <f t="shared" si="32"/>
        <v/>
      </c>
      <c r="N58" s="130" t="str">
        <f t="shared" si="32"/>
        <v>x</v>
      </c>
      <c r="O58" s="130" t="str">
        <f t="shared" si="32"/>
        <v/>
      </c>
      <c r="P58" s="130" t="str">
        <f t="shared" si="32"/>
        <v>x</v>
      </c>
      <c r="Q58" s="130" t="str">
        <f t="shared" si="32"/>
        <v/>
      </c>
      <c r="R58" s="130" t="str">
        <f t="shared" si="32"/>
        <v>x</v>
      </c>
      <c r="S58" s="130" t="str">
        <f t="shared" si="32"/>
        <v/>
      </c>
      <c r="T58" s="130" t="str">
        <f t="shared" si="32"/>
        <v>x</v>
      </c>
      <c r="U58" s="130" t="str">
        <f t="shared" si="32"/>
        <v/>
      </c>
      <c r="V58" s="130" t="str">
        <f t="shared" si="32"/>
        <v>x</v>
      </c>
      <c r="W58" s="130" t="str">
        <f t="shared" si="32"/>
        <v/>
      </c>
      <c r="X58" s="130" t="str">
        <f t="shared" si="32"/>
        <v/>
      </c>
      <c r="Y58" s="130" t="str">
        <f t="shared" si="32"/>
        <v/>
      </c>
      <c r="Z58" s="130" t="str">
        <f t="shared" si="32"/>
        <v>x</v>
      </c>
      <c r="AA58" s="130" t="str">
        <f t="shared" si="32"/>
        <v/>
      </c>
      <c r="AB58" s="130" t="str">
        <f t="shared" si="32"/>
        <v>x</v>
      </c>
      <c r="AC58" s="130" t="str">
        <f t="shared" si="32"/>
        <v/>
      </c>
      <c r="AD58" s="130" t="str">
        <f t="shared" si="32"/>
        <v>x</v>
      </c>
    </row>
    <row r="59" spans="1:30" x14ac:dyDescent="0.25">
      <c r="A59" s="212"/>
      <c r="B59" s="569" t="s">
        <v>1184</v>
      </c>
      <c r="C59" s="572"/>
      <c r="D59" s="573"/>
      <c r="E59" s="179"/>
      <c r="F59" s="299" t="s">
        <v>31</v>
      </c>
      <c r="G59" s="119"/>
      <c r="H59" s="287"/>
      <c r="I59" s="105" t="str">
        <f>IF(COUNTIF(I60:I64,"x")=0,"","x")</f>
        <v/>
      </c>
      <c r="J59" s="105" t="str">
        <f t="shared" ref="J59:AD59" si="33">IF(COUNTIF(J60:J64,"x")=0,"","x")</f>
        <v>x</v>
      </c>
      <c r="K59" s="105" t="str">
        <f t="shared" si="33"/>
        <v/>
      </c>
      <c r="L59" s="105" t="str">
        <f t="shared" si="33"/>
        <v>x</v>
      </c>
      <c r="M59" s="105" t="str">
        <f t="shared" si="33"/>
        <v/>
      </c>
      <c r="N59" s="105" t="str">
        <f t="shared" si="33"/>
        <v>x</v>
      </c>
      <c r="O59" s="105" t="str">
        <f t="shared" si="33"/>
        <v/>
      </c>
      <c r="P59" s="105" t="str">
        <f t="shared" si="33"/>
        <v>x</v>
      </c>
      <c r="Q59" s="105" t="str">
        <f t="shared" si="33"/>
        <v/>
      </c>
      <c r="R59" s="105" t="str">
        <f t="shared" si="33"/>
        <v>x</v>
      </c>
      <c r="S59" s="105" t="str">
        <f t="shared" si="33"/>
        <v/>
      </c>
      <c r="T59" s="105" t="str">
        <f t="shared" si="33"/>
        <v>x</v>
      </c>
      <c r="U59" s="105" t="str">
        <f t="shared" si="33"/>
        <v/>
      </c>
      <c r="V59" s="105" t="str">
        <f t="shared" si="33"/>
        <v>x</v>
      </c>
      <c r="W59" s="105" t="str">
        <f t="shared" si="33"/>
        <v/>
      </c>
      <c r="X59" s="105" t="str">
        <f t="shared" si="33"/>
        <v/>
      </c>
      <c r="Y59" s="105" t="str">
        <f t="shared" si="33"/>
        <v/>
      </c>
      <c r="Z59" s="105" t="str">
        <f t="shared" si="33"/>
        <v>x</v>
      </c>
      <c r="AA59" s="105" t="str">
        <f t="shared" si="33"/>
        <v/>
      </c>
      <c r="AB59" s="105" t="str">
        <f t="shared" si="33"/>
        <v>x</v>
      </c>
      <c r="AC59" s="105" t="str">
        <f t="shared" si="33"/>
        <v/>
      </c>
      <c r="AD59" s="105" t="str">
        <f t="shared" si="33"/>
        <v>x</v>
      </c>
    </row>
    <row r="60" spans="1:30" ht="25" x14ac:dyDescent="0.25">
      <c r="A60" s="212" t="s">
        <v>830</v>
      </c>
      <c r="B60" s="39" t="s">
        <v>52</v>
      </c>
      <c r="C60" s="373" t="s">
        <v>1243</v>
      </c>
      <c r="D60" s="5" t="s">
        <v>1053</v>
      </c>
      <c r="E60" s="144"/>
      <c r="F60" s="301"/>
      <c r="G60" s="148"/>
      <c r="H60" s="287" t="str">
        <f>HYPERLINK(CONCATENATE("http://garwiki.regn.net/mediawiki/index.php/Scorecard_Rule_",MID(A60,FIND(":",A60)+1,9)),"?")</f>
        <v>?</v>
      </c>
      <c r="I60" s="105"/>
      <c r="J60" s="105" t="s">
        <v>144</v>
      </c>
      <c r="K60" s="105"/>
      <c r="L60" s="105" t="s">
        <v>144</v>
      </c>
      <c r="M60" s="307"/>
      <c r="N60" s="307" t="s">
        <v>144</v>
      </c>
      <c r="O60" s="106"/>
      <c r="P60" s="105" t="s">
        <v>144</v>
      </c>
      <c r="Q60" s="106"/>
      <c r="R60" s="105" t="s">
        <v>144</v>
      </c>
      <c r="S60" s="106"/>
      <c r="T60" s="105" t="s">
        <v>144</v>
      </c>
      <c r="U60" s="106"/>
      <c r="V60" s="105" t="s">
        <v>144</v>
      </c>
      <c r="W60" s="105"/>
      <c r="X60" s="105"/>
      <c r="Y60" s="106"/>
      <c r="Z60" s="105" t="s">
        <v>144</v>
      </c>
      <c r="AA60" s="105"/>
      <c r="AB60" s="105" t="s">
        <v>144</v>
      </c>
      <c r="AC60" s="106"/>
      <c r="AD60" s="105" t="s">
        <v>144</v>
      </c>
    </row>
    <row r="61" spans="1:30" ht="25" x14ac:dyDescent="0.25">
      <c r="A61" s="212" t="s">
        <v>831</v>
      </c>
      <c r="B61" s="39" t="s">
        <v>52</v>
      </c>
      <c r="C61" s="373" t="s">
        <v>1244</v>
      </c>
      <c r="D61" s="5" t="s">
        <v>1054</v>
      </c>
      <c r="E61" s="144"/>
      <c r="F61" s="301"/>
      <c r="G61" s="148"/>
      <c r="H61" s="287" t="str">
        <f>HYPERLINK(CONCATENATE("http://garwiki.regn.net/mediawiki/index.php/Scorecard_Rule_",MID(A61,FIND(":",A61)+1,9)),"?")</f>
        <v>?</v>
      </c>
      <c r="I61" s="105"/>
      <c r="J61" s="105" t="s">
        <v>144</v>
      </c>
      <c r="K61" s="105"/>
      <c r="L61" s="105" t="s">
        <v>144</v>
      </c>
      <c r="M61" s="342"/>
      <c r="N61" s="342" t="s">
        <v>144</v>
      </c>
      <c r="O61" s="106"/>
      <c r="P61" s="105" t="s">
        <v>144</v>
      </c>
      <c r="Q61" s="106"/>
      <c r="R61" s="105" t="s">
        <v>144</v>
      </c>
      <c r="S61" s="106"/>
      <c r="T61" s="105" t="s">
        <v>144</v>
      </c>
      <c r="U61" s="106"/>
      <c r="V61" s="105" t="s">
        <v>144</v>
      </c>
      <c r="W61" s="105"/>
      <c r="X61" s="105"/>
      <c r="Y61" s="106"/>
      <c r="Z61" s="105" t="s">
        <v>144</v>
      </c>
      <c r="AA61" s="105"/>
      <c r="AB61" s="105" t="s">
        <v>144</v>
      </c>
      <c r="AC61" s="106"/>
      <c r="AD61" s="105" t="s">
        <v>144</v>
      </c>
    </row>
    <row r="62" spans="1:30" ht="25" x14ac:dyDescent="0.25">
      <c r="A62" s="212" t="s">
        <v>941</v>
      </c>
      <c r="B62" s="39" t="s">
        <v>52</v>
      </c>
      <c r="C62" s="373" t="s">
        <v>1245</v>
      </c>
      <c r="D62" s="5" t="s">
        <v>1055</v>
      </c>
      <c r="E62" s="144"/>
      <c r="F62" s="301"/>
      <c r="G62" s="148"/>
      <c r="H62" s="287" t="str">
        <f>HYPERLINK(CONCATENATE("http://garwiki.regn.net/mediawiki/index.php/Scorecard_Rule_",MID(A62,FIND(":",A62)+1,9)),"?")</f>
        <v>?</v>
      </c>
      <c r="I62" s="105"/>
      <c r="J62" s="105" t="s">
        <v>144</v>
      </c>
      <c r="K62" s="105"/>
      <c r="L62" s="105" t="s">
        <v>144</v>
      </c>
      <c r="M62" s="342"/>
      <c r="N62" s="342" t="s">
        <v>144</v>
      </c>
      <c r="O62" s="106"/>
      <c r="P62" s="105" t="s">
        <v>144</v>
      </c>
      <c r="Q62" s="106"/>
      <c r="R62" s="105" t="s">
        <v>144</v>
      </c>
      <c r="S62" s="106"/>
      <c r="T62" s="105" t="s">
        <v>144</v>
      </c>
      <c r="U62" s="106"/>
      <c r="V62" s="105" t="s">
        <v>144</v>
      </c>
      <c r="W62" s="105"/>
      <c r="X62" s="105"/>
      <c r="Y62" s="106"/>
      <c r="Z62" s="105" t="s">
        <v>144</v>
      </c>
      <c r="AA62" s="105"/>
      <c r="AB62" s="105" t="s">
        <v>144</v>
      </c>
      <c r="AC62" s="106"/>
      <c r="AD62" s="105" t="s">
        <v>144</v>
      </c>
    </row>
    <row r="63" spans="1:30" ht="37.5" x14ac:dyDescent="0.25">
      <c r="A63" s="212" t="s">
        <v>942</v>
      </c>
      <c r="B63" s="39" t="s">
        <v>52</v>
      </c>
      <c r="C63" s="373" t="s">
        <v>1246</v>
      </c>
      <c r="D63" s="5" t="s">
        <v>1056</v>
      </c>
      <c r="E63" s="144"/>
      <c r="F63" s="301"/>
      <c r="G63" s="148"/>
      <c r="H63" s="287" t="str">
        <f>HYPERLINK(CONCATENATE("http://garwiki.regn.net/mediawiki/index.php/Scorecard_Rule_",MID(A63,FIND(":",A63)+1,9)),"?")</f>
        <v>?</v>
      </c>
      <c r="I63" s="105"/>
      <c r="J63" s="105" t="s">
        <v>144</v>
      </c>
      <c r="K63" s="105"/>
      <c r="L63" s="105" t="s">
        <v>144</v>
      </c>
      <c r="M63" s="307"/>
      <c r="N63" s="307" t="s">
        <v>144</v>
      </c>
      <c r="O63" s="106"/>
      <c r="P63" s="105" t="s">
        <v>144</v>
      </c>
      <c r="Q63" s="106"/>
      <c r="R63" s="105" t="s">
        <v>144</v>
      </c>
      <c r="S63" s="106"/>
      <c r="T63" s="105" t="s">
        <v>144</v>
      </c>
      <c r="U63" s="106"/>
      <c r="V63" s="105" t="s">
        <v>144</v>
      </c>
      <c r="W63" s="105"/>
      <c r="X63" s="105"/>
      <c r="Y63" s="106"/>
      <c r="Z63" s="105" t="s">
        <v>144</v>
      </c>
      <c r="AA63" s="105"/>
      <c r="AB63" s="105" t="s">
        <v>144</v>
      </c>
      <c r="AC63" s="106"/>
      <c r="AD63" s="105" t="s">
        <v>144</v>
      </c>
    </row>
    <row r="64" spans="1:30" ht="25" x14ac:dyDescent="0.25">
      <c r="A64" s="212" t="s">
        <v>832</v>
      </c>
      <c r="B64" s="39" t="s">
        <v>52</v>
      </c>
      <c r="C64" s="373" t="s">
        <v>1247</v>
      </c>
      <c r="D64" s="5" t="s">
        <v>1057</v>
      </c>
      <c r="E64" s="144"/>
      <c r="F64" s="301"/>
      <c r="G64" s="148"/>
      <c r="H64" s="287" t="str">
        <f>HYPERLINK(CONCATENATE("http://garwiki.regn.net/mediawiki/index.php/Scorecard_Rule_",MID(A64,FIND(":",A64)+1,9)),"?")</f>
        <v>?</v>
      </c>
      <c r="I64" s="105"/>
      <c r="J64" s="105" t="s">
        <v>144</v>
      </c>
      <c r="K64" s="105"/>
      <c r="L64" s="105" t="s">
        <v>144</v>
      </c>
      <c r="M64" s="307"/>
      <c r="N64" s="307" t="s">
        <v>144</v>
      </c>
      <c r="O64" s="106"/>
      <c r="P64" s="105" t="s">
        <v>144</v>
      </c>
      <c r="Q64" s="106"/>
      <c r="R64" s="105" t="s">
        <v>144</v>
      </c>
      <c r="S64" s="106"/>
      <c r="T64" s="105" t="s">
        <v>144</v>
      </c>
      <c r="U64" s="106"/>
      <c r="V64" s="105" t="s">
        <v>144</v>
      </c>
      <c r="W64" s="105"/>
      <c r="X64" s="105"/>
      <c r="Y64" s="106"/>
      <c r="Z64" s="105" t="s">
        <v>144</v>
      </c>
      <c r="AA64" s="105"/>
      <c r="AB64" s="105" t="s">
        <v>144</v>
      </c>
      <c r="AC64" s="106"/>
      <c r="AD64" s="105" t="s">
        <v>144</v>
      </c>
    </row>
    <row r="65" spans="1:30" ht="13" x14ac:dyDescent="0.25">
      <c r="A65" s="212" t="s">
        <v>1094</v>
      </c>
      <c r="B65" s="132" t="s">
        <v>143</v>
      </c>
      <c r="C65" s="131" t="s">
        <v>1248</v>
      </c>
      <c r="D65" s="574" t="s">
        <v>1185</v>
      </c>
      <c r="E65" s="575"/>
      <c r="F65" s="575"/>
      <c r="G65" s="576"/>
      <c r="H65" s="287" t="str">
        <f>HYPERLINK(CONCATENATE("http://garwiki.regn.net/mediawiki/index.php/",SUBSTITUTE(D65," ","_"),"_(golden_rule)"),"?")</f>
        <v>?</v>
      </c>
      <c r="I65" s="130" t="str">
        <f>I66</f>
        <v/>
      </c>
      <c r="J65" s="130" t="str">
        <f t="shared" ref="J65:AD68" si="34">J66</f>
        <v/>
      </c>
      <c r="K65" s="130" t="str">
        <f>K66</f>
        <v/>
      </c>
      <c r="L65" s="130" t="str">
        <f t="shared" si="34"/>
        <v/>
      </c>
      <c r="M65" s="130" t="str">
        <f t="shared" si="34"/>
        <v/>
      </c>
      <c r="N65" s="130" t="str">
        <f t="shared" si="34"/>
        <v/>
      </c>
      <c r="O65" s="130" t="str">
        <f t="shared" si="34"/>
        <v/>
      </c>
      <c r="P65" s="130" t="str">
        <f t="shared" si="34"/>
        <v>x</v>
      </c>
      <c r="Q65" s="130" t="str">
        <f t="shared" si="34"/>
        <v/>
      </c>
      <c r="R65" s="130" t="str">
        <f t="shared" si="34"/>
        <v>x</v>
      </c>
      <c r="S65" s="130" t="str">
        <f t="shared" si="34"/>
        <v/>
      </c>
      <c r="T65" s="130" t="str">
        <f t="shared" si="34"/>
        <v/>
      </c>
      <c r="U65" s="130" t="str">
        <f t="shared" si="34"/>
        <v/>
      </c>
      <c r="V65" s="130" t="str">
        <f t="shared" si="34"/>
        <v/>
      </c>
      <c r="W65" s="130" t="str">
        <f t="shared" si="34"/>
        <v/>
      </c>
      <c r="X65" s="130" t="str">
        <f t="shared" si="34"/>
        <v/>
      </c>
      <c r="Y65" s="130" t="str">
        <f t="shared" si="34"/>
        <v/>
      </c>
      <c r="Z65" s="130" t="str">
        <f t="shared" si="34"/>
        <v/>
      </c>
      <c r="AA65" s="130" t="str">
        <f t="shared" si="34"/>
        <v/>
      </c>
      <c r="AB65" s="130" t="str">
        <f t="shared" si="34"/>
        <v/>
      </c>
      <c r="AC65" s="130" t="str">
        <f t="shared" si="34"/>
        <v/>
      </c>
      <c r="AD65" s="130" t="str">
        <f t="shared" si="34"/>
        <v/>
      </c>
    </row>
    <row r="66" spans="1:30" x14ac:dyDescent="0.25">
      <c r="A66" s="212"/>
      <c r="B66" s="569" t="s">
        <v>1185</v>
      </c>
      <c r="C66" s="572"/>
      <c r="D66" s="573"/>
      <c r="E66" s="179"/>
      <c r="F66" s="299" t="s">
        <v>31</v>
      </c>
      <c r="G66" s="119"/>
      <c r="H66" s="287"/>
      <c r="I66" s="105" t="str">
        <f>IF(COUNTIF(I67:I67,"x")=0,"","x")</f>
        <v/>
      </c>
      <c r="J66" s="105" t="str">
        <f t="shared" ref="J66:AD66" si="35">IF(COUNTIF(J67:J67,"x")=0,"","x")</f>
        <v/>
      </c>
      <c r="K66" s="105" t="str">
        <f t="shared" si="35"/>
        <v/>
      </c>
      <c r="L66" s="105" t="str">
        <f t="shared" si="35"/>
        <v/>
      </c>
      <c r="M66" s="105" t="str">
        <f t="shared" si="35"/>
        <v/>
      </c>
      <c r="N66" s="105" t="str">
        <f t="shared" si="35"/>
        <v/>
      </c>
      <c r="O66" s="105" t="str">
        <f t="shared" si="35"/>
        <v/>
      </c>
      <c r="P66" s="105" t="str">
        <f t="shared" si="35"/>
        <v>x</v>
      </c>
      <c r="Q66" s="105" t="str">
        <f t="shared" si="35"/>
        <v/>
      </c>
      <c r="R66" s="105" t="str">
        <f t="shared" si="35"/>
        <v>x</v>
      </c>
      <c r="S66" s="105" t="str">
        <f t="shared" si="35"/>
        <v/>
      </c>
      <c r="T66" s="105" t="str">
        <f t="shared" si="35"/>
        <v/>
      </c>
      <c r="U66" s="105" t="str">
        <f t="shared" si="35"/>
        <v/>
      </c>
      <c r="V66" s="105" t="str">
        <f t="shared" si="35"/>
        <v/>
      </c>
      <c r="W66" s="105" t="str">
        <f t="shared" si="35"/>
        <v/>
      </c>
      <c r="X66" s="105" t="str">
        <f t="shared" si="35"/>
        <v/>
      </c>
      <c r="Y66" s="105" t="str">
        <f t="shared" si="35"/>
        <v/>
      </c>
      <c r="Z66" s="105" t="str">
        <f t="shared" si="35"/>
        <v/>
      </c>
      <c r="AA66" s="105" t="str">
        <f t="shared" si="35"/>
        <v/>
      </c>
      <c r="AB66" s="105" t="str">
        <f t="shared" si="35"/>
        <v/>
      </c>
      <c r="AC66" s="105" t="str">
        <f t="shared" si="35"/>
        <v/>
      </c>
      <c r="AD66" s="105" t="str">
        <f t="shared" si="35"/>
        <v/>
      </c>
    </row>
    <row r="67" spans="1:30" ht="25" x14ac:dyDescent="0.25">
      <c r="A67" s="212" t="s">
        <v>961</v>
      </c>
      <c r="B67" s="39" t="s">
        <v>52</v>
      </c>
      <c r="C67" s="373" t="s">
        <v>1249</v>
      </c>
      <c r="D67" s="5" t="s">
        <v>960</v>
      </c>
      <c r="E67" s="144"/>
      <c r="F67" s="301"/>
      <c r="G67" s="148"/>
      <c r="H67" s="287" t="str">
        <f>HYPERLINK(CONCATENATE("http://garwiki.regn.net/mediawiki/index.php/Scorecard_Rule_",MID(A67,FIND(":",A67)+1,9)),"?")</f>
        <v>?</v>
      </c>
      <c r="I67" s="105"/>
      <c r="J67" s="105"/>
      <c r="K67" s="105"/>
      <c r="L67" s="105"/>
      <c r="M67" s="307"/>
      <c r="N67" s="307"/>
      <c r="O67" s="106"/>
      <c r="P67" s="105" t="s">
        <v>144</v>
      </c>
      <c r="Q67" s="106"/>
      <c r="R67" s="105" t="s">
        <v>144</v>
      </c>
      <c r="S67" s="106"/>
      <c r="T67" s="105"/>
      <c r="U67" s="106"/>
      <c r="V67" s="105"/>
      <c r="W67" s="105"/>
      <c r="X67" s="105"/>
      <c r="Y67" s="106"/>
      <c r="Z67" s="106"/>
      <c r="AA67" s="106"/>
      <c r="AB67" s="106"/>
      <c r="AC67" s="106"/>
      <c r="AD67" s="106"/>
    </row>
    <row r="68" spans="1:30" ht="13" x14ac:dyDescent="0.25">
      <c r="A68" s="212" t="s">
        <v>820</v>
      </c>
      <c r="B68" s="132" t="s">
        <v>143</v>
      </c>
      <c r="C68" s="131" t="s">
        <v>1250</v>
      </c>
      <c r="D68" s="574" t="s">
        <v>1186</v>
      </c>
      <c r="E68" s="575"/>
      <c r="F68" s="575"/>
      <c r="G68" s="576"/>
      <c r="H68" s="287" t="str">
        <f>HYPERLINK(CONCATENATE("http://garwiki.regn.net/mediawiki/index.php/",SUBSTITUTE(D68," ","_"),"_(golden_rule)"),"?")</f>
        <v>?</v>
      </c>
      <c r="I68" s="130" t="str">
        <f>I69</f>
        <v>x</v>
      </c>
      <c r="J68" s="130" t="str">
        <f t="shared" si="34"/>
        <v>x</v>
      </c>
      <c r="K68" s="130" t="str">
        <f>K69</f>
        <v>x</v>
      </c>
      <c r="L68" s="130" t="str">
        <f t="shared" si="34"/>
        <v>x</v>
      </c>
      <c r="M68" s="130" t="str">
        <f t="shared" si="34"/>
        <v>x</v>
      </c>
      <c r="N68" s="130" t="str">
        <f t="shared" si="34"/>
        <v>x</v>
      </c>
      <c r="O68" s="130" t="str">
        <f t="shared" si="34"/>
        <v/>
      </c>
      <c r="P68" s="130" t="str">
        <f t="shared" si="34"/>
        <v/>
      </c>
      <c r="Q68" s="130" t="str">
        <f t="shared" si="34"/>
        <v/>
      </c>
      <c r="R68" s="130" t="str">
        <f t="shared" si="34"/>
        <v/>
      </c>
      <c r="S68" s="130" t="str">
        <f t="shared" si="34"/>
        <v>x</v>
      </c>
      <c r="T68" s="130" t="str">
        <f t="shared" si="34"/>
        <v>x</v>
      </c>
      <c r="U68" s="130" t="str">
        <f t="shared" si="34"/>
        <v>x</v>
      </c>
      <c r="V68" s="130" t="str">
        <f t="shared" si="34"/>
        <v>x</v>
      </c>
      <c r="W68" s="130" t="str">
        <f t="shared" si="34"/>
        <v/>
      </c>
      <c r="X68" s="130" t="str">
        <f t="shared" si="34"/>
        <v/>
      </c>
      <c r="Y68" s="130" t="str">
        <f t="shared" si="34"/>
        <v>x</v>
      </c>
      <c r="Z68" s="130" t="str">
        <f t="shared" si="34"/>
        <v>x</v>
      </c>
      <c r="AA68" s="130" t="str">
        <f t="shared" si="34"/>
        <v>x</v>
      </c>
      <c r="AB68" s="130" t="str">
        <f t="shared" si="34"/>
        <v>x</v>
      </c>
      <c r="AC68" s="130" t="str">
        <f t="shared" si="34"/>
        <v>x</v>
      </c>
      <c r="AD68" s="130" t="str">
        <f t="shared" si="34"/>
        <v>x</v>
      </c>
    </row>
    <row r="69" spans="1:30" x14ac:dyDescent="0.25">
      <c r="A69" s="212"/>
      <c r="B69" s="569" t="s">
        <v>1186</v>
      </c>
      <c r="C69" s="572"/>
      <c r="D69" s="573"/>
      <c r="E69" s="179"/>
      <c r="F69" s="299" t="s">
        <v>31</v>
      </c>
      <c r="G69" s="119"/>
      <c r="H69" s="287"/>
      <c r="I69" s="105" t="str">
        <f>IF(COUNTIF(I70:I70,"x")=0,"","x")</f>
        <v>x</v>
      </c>
      <c r="J69" s="105" t="str">
        <f t="shared" ref="J69:AD69" si="36">IF(COUNTIF(J70:J70,"x")=0,"","x")</f>
        <v>x</v>
      </c>
      <c r="K69" s="105" t="str">
        <f t="shared" si="36"/>
        <v>x</v>
      </c>
      <c r="L69" s="105" t="str">
        <f t="shared" si="36"/>
        <v>x</v>
      </c>
      <c r="M69" s="105" t="str">
        <f t="shared" si="36"/>
        <v>x</v>
      </c>
      <c r="N69" s="105" t="str">
        <f t="shared" si="36"/>
        <v>x</v>
      </c>
      <c r="O69" s="105" t="str">
        <f t="shared" si="36"/>
        <v/>
      </c>
      <c r="P69" s="105" t="str">
        <f t="shared" si="36"/>
        <v/>
      </c>
      <c r="Q69" s="105" t="str">
        <f t="shared" si="36"/>
        <v/>
      </c>
      <c r="R69" s="105" t="str">
        <f t="shared" si="36"/>
        <v/>
      </c>
      <c r="S69" s="105" t="str">
        <f t="shared" si="36"/>
        <v>x</v>
      </c>
      <c r="T69" s="105" t="str">
        <f t="shared" si="36"/>
        <v>x</v>
      </c>
      <c r="U69" s="105" t="str">
        <f t="shared" si="36"/>
        <v>x</v>
      </c>
      <c r="V69" s="105" t="str">
        <f t="shared" si="36"/>
        <v>x</v>
      </c>
      <c r="W69" s="105" t="str">
        <f t="shared" si="36"/>
        <v/>
      </c>
      <c r="X69" s="105" t="str">
        <f t="shared" si="36"/>
        <v/>
      </c>
      <c r="Y69" s="105" t="str">
        <f t="shared" si="36"/>
        <v>x</v>
      </c>
      <c r="Z69" s="105" t="str">
        <f t="shared" si="36"/>
        <v>x</v>
      </c>
      <c r="AA69" s="105" t="str">
        <f t="shared" si="36"/>
        <v>x</v>
      </c>
      <c r="AB69" s="105" t="str">
        <f t="shared" si="36"/>
        <v>x</v>
      </c>
      <c r="AC69" s="105" t="str">
        <f t="shared" si="36"/>
        <v>x</v>
      </c>
      <c r="AD69" s="105" t="str">
        <f t="shared" si="36"/>
        <v>x</v>
      </c>
    </row>
    <row r="70" spans="1:30" ht="62.5" x14ac:dyDescent="0.25">
      <c r="A70" s="212" t="s">
        <v>474</v>
      </c>
      <c r="B70" s="236" t="s">
        <v>52</v>
      </c>
      <c r="C70" s="373" t="s">
        <v>1251</v>
      </c>
      <c r="D70" s="38" t="s">
        <v>1305</v>
      </c>
      <c r="E70" s="144"/>
      <c r="F70" s="300"/>
      <c r="G70" s="146"/>
      <c r="H70" s="287" t="str">
        <f>HYPERLINK(CONCATENATE("http://garwiki.regn.net/mediawiki/index.php/Scorecard_Rule_",MID(A70,FIND(":",A70)+1,9)),"?")</f>
        <v>?</v>
      </c>
      <c r="I70" s="105" t="s">
        <v>144</v>
      </c>
      <c r="J70" s="105" t="s">
        <v>144</v>
      </c>
      <c r="K70" s="105" t="s">
        <v>144</v>
      </c>
      <c r="L70" s="105" t="s">
        <v>144</v>
      </c>
      <c r="M70" s="342" t="s">
        <v>144</v>
      </c>
      <c r="N70" s="342" t="s">
        <v>144</v>
      </c>
      <c r="O70" s="105"/>
      <c r="P70" s="105"/>
      <c r="Q70" s="105"/>
      <c r="R70" s="105"/>
      <c r="S70" s="105" t="s">
        <v>144</v>
      </c>
      <c r="T70" s="105" t="s">
        <v>144</v>
      </c>
      <c r="U70" s="105" t="s">
        <v>144</v>
      </c>
      <c r="V70" s="105" t="s">
        <v>144</v>
      </c>
      <c r="W70" s="105"/>
      <c r="X70" s="105"/>
      <c r="Y70" s="105" t="s">
        <v>144</v>
      </c>
      <c r="Z70" s="105" t="s">
        <v>144</v>
      </c>
      <c r="AA70" s="105" t="s">
        <v>144</v>
      </c>
      <c r="AB70" s="105" t="s">
        <v>144</v>
      </c>
      <c r="AC70" s="105" t="s">
        <v>144</v>
      </c>
      <c r="AD70" s="105" t="s">
        <v>144</v>
      </c>
    </row>
    <row r="71" spans="1:30" ht="13" x14ac:dyDescent="0.25">
      <c r="A71" s="212" t="s">
        <v>755</v>
      </c>
      <c r="B71" s="132" t="s">
        <v>143</v>
      </c>
      <c r="C71" s="427" t="s">
        <v>1252</v>
      </c>
      <c r="D71" s="577" t="s">
        <v>1187</v>
      </c>
      <c r="E71" s="575"/>
      <c r="F71" s="575"/>
      <c r="G71" s="578"/>
      <c r="H71" s="287" t="str">
        <f>HYPERLINK(CONCATENATE("http://garwiki.regn.net/mediawiki/index.php/",SUBSTITUTE(D71," ","_"),"_(golden_rule)"),"?")</f>
        <v>?</v>
      </c>
      <c r="I71" s="428" t="str">
        <f>I72</f>
        <v/>
      </c>
      <c r="J71" s="428" t="str">
        <f t="shared" ref="J71:AD71" si="37">J72</f>
        <v/>
      </c>
      <c r="K71" s="428" t="str">
        <f>K72</f>
        <v/>
      </c>
      <c r="L71" s="428" t="str">
        <f t="shared" si="37"/>
        <v>x</v>
      </c>
      <c r="M71" s="428" t="str">
        <f t="shared" si="37"/>
        <v/>
      </c>
      <c r="N71" s="428" t="str">
        <f t="shared" si="37"/>
        <v/>
      </c>
      <c r="O71" s="428" t="str">
        <f t="shared" si="37"/>
        <v/>
      </c>
      <c r="P71" s="428" t="str">
        <f t="shared" si="37"/>
        <v>x</v>
      </c>
      <c r="Q71" s="428" t="str">
        <f t="shared" si="37"/>
        <v/>
      </c>
      <c r="R71" s="428" t="str">
        <f t="shared" si="37"/>
        <v>x</v>
      </c>
      <c r="S71" s="428" t="str">
        <f t="shared" si="37"/>
        <v/>
      </c>
      <c r="T71" s="428" t="str">
        <f t="shared" si="37"/>
        <v>x</v>
      </c>
      <c r="U71" s="428" t="str">
        <f t="shared" si="37"/>
        <v/>
      </c>
      <c r="V71" s="428" t="str">
        <f t="shared" si="37"/>
        <v>x</v>
      </c>
      <c r="W71" s="428" t="str">
        <f t="shared" si="37"/>
        <v/>
      </c>
      <c r="X71" s="428" t="str">
        <f t="shared" si="37"/>
        <v/>
      </c>
      <c r="Y71" s="428" t="str">
        <f t="shared" si="37"/>
        <v/>
      </c>
      <c r="Z71" s="428" t="str">
        <f t="shared" si="37"/>
        <v>x</v>
      </c>
      <c r="AA71" s="428" t="str">
        <f t="shared" si="37"/>
        <v/>
      </c>
      <c r="AB71" s="428" t="str">
        <f t="shared" si="37"/>
        <v>x</v>
      </c>
      <c r="AC71" s="428" t="str">
        <f t="shared" si="37"/>
        <v/>
      </c>
      <c r="AD71" s="428" t="str">
        <f t="shared" si="37"/>
        <v>x</v>
      </c>
    </row>
    <row r="72" spans="1:30" x14ac:dyDescent="0.25">
      <c r="A72" s="212"/>
      <c r="B72" s="569" t="s">
        <v>1187</v>
      </c>
      <c r="C72" s="570"/>
      <c r="D72" s="571"/>
      <c r="E72" s="429"/>
      <c r="F72" s="430" t="s">
        <v>31</v>
      </c>
      <c r="G72" s="426"/>
      <c r="H72" s="287"/>
      <c r="I72" s="345" t="str">
        <f>IF(COUNTIF(I73:I73,"x")=0,"","x")</f>
        <v/>
      </c>
      <c r="J72" s="345" t="str">
        <f t="shared" ref="J72:AD72" si="38">IF(COUNTIF(J73:J73,"x")=0,"","x")</f>
        <v/>
      </c>
      <c r="K72" s="345" t="str">
        <f t="shared" si="38"/>
        <v/>
      </c>
      <c r="L72" s="345" t="str">
        <f t="shared" si="38"/>
        <v>x</v>
      </c>
      <c r="M72" s="345" t="str">
        <f t="shared" si="38"/>
        <v/>
      </c>
      <c r="N72" s="345" t="str">
        <f t="shared" si="38"/>
        <v/>
      </c>
      <c r="O72" s="345" t="str">
        <f t="shared" si="38"/>
        <v/>
      </c>
      <c r="P72" s="345" t="str">
        <f t="shared" si="38"/>
        <v>x</v>
      </c>
      <c r="Q72" s="345" t="str">
        <f t="shared" si="38"/>
        <v/>
      </c>
      <c r="R72" s="345" t="str">
        <f t="shared" si="38"/>
        <v>x</v>
      </c>
      <c r="S72" s="345" t="str">
        <f t="shared" si="38"/>
        <v/>
      </c>
      <c r="T72" s="345" t="str">
        <f t="shared" si="38"/>
        <v>x</v>
      </c>
      <c r="U72" s="345" t="str">
        <f t="shared" si="38"/>
        <v/>
      </c>
      <c r="V72" s="345" t="str">
        <f t="shared" si="38"/>
        <v>x</v>
      </c>
      <c r="W72" s="345" t="str">
        <f t="shared" si="38"/>
        <v/>
      </c>
      <c r="X72" s="345" t="str">
        <f t="shared" si="38"/>
        <v/>
      </c>
      <c r="Y72" s="345" t="str">
        <f t="shared" si="38"/>
        <v/>
      </c>
      <c r="Z72" s="345" t="str">
        <f t="shared" si="38"/>
        <v>x</v>
      </c>
      <c r="AA72" s="345" t="str">
        <f t="shared" si="38"/>
        <v/>
      </c>
      <c r="AB72" s="345" t="str">
        <f t="shared" si="38"/>
        <v>x</v>
      </c>
      <c r="AC72" s="345" t="str">
        <f t="shared" si="38"/>
        <v/>
      </c>
      <c r="AD72" s="345" t="str">
        <f t="shared" si="38"/>
        <v>x</v>
      </c>
    </row>
    <row r="73" spans="1:30" ht="62.5" x14ac:dyDescent="0.25">
      <c r="A73" s="212" t="s">
        <v>756</v>
      </c>
      <c r="B73" s="39" t="s">
        <v>52</v>
      </c>
      <c r="C73" s="373" t="s">
        <v>1253</v>
      </c>
      <c r="D73" s="410" t="s">
        <v>1058</v>
      </c>
      <c r="E73" s="351"/>
      <c r="F73" s="301"/>
      <c r="G73" s="353"/>
      <c r="H73" s="287" t="str">
        <f>HYPERLINK(CONCATENATE("http://garwiki.regn.net/mediawiki/index.php/Scorecard_Rule_",MID(A73,FIND(":",A73)+1,9)),"?")</f>
        <v>?</v>
      </c>
      <c r="I73" s="345"/>
      <c r="J73" s="345"/>
      <c r="K73" s="345"/>
      <c r="L73" s="345" t="s">
        <v>144</v>
      </c>
      <c r="M73" s="420"/>
      <c r="N73" s="420"/>
      <c r="O73" s="346"/>
      <c r="P73" s="345" t="s">
        <v>144</v>
      </c>
      <c r="Q73" s="346"/>
      <c r="R73" s="345" t="s">
        <v>144</v>
      </c>
      <c r="S73" s="346"/>
      <c r="T73" s="345" t="s">
        <v>144</v>
      </c>
      <c r="U73" s="346"/>
      <c r="V73" s="345" t="s">
        <v>144</v>
      </c>
      <c r="W73" s="345"/>
      <c r="X73" s="345"/>
      <c r="Y73" s="346"/>
      <c r="Z73" s="105" t="s">
        <v>144</v>
      </c>
      <c r="AA73" s="105"/>
      <c r="AB73" s="105" t="s">
        <v>144</v>
      </c>
      <c r="AC73" s="106"/>
      <c r="AD73" s="105" t="s">
        <v>144</v>
      </c>
    </row>
    <row r="74" spans="1:30" ht="13" x14ac:dyDescent="0.25">
      <c r="A74" s="212" t="s">
        <v>1095</v>
      </c>
      <c r="B74" s="132" t="s">
        <v>143</v>
      </c>
      <c r="C74" s="427" t="s">
        <v>1254</v>
      </c>
      <c r="D74" s="577" t="s">
        <v>1059</v>
      </c>
      <c r="E74" s="575"/>
      <c r="F74" s="575"/>
      <c r="G74" s="578"/>
      <c r="H74" s="287" t="str">
        <f>HYPERLINK(CONCATENATE("http://garwiki.regn.net/mediawiki/index.php/",SUBSTITUTE(D74," ","_"),"_(golden_rule)"),"?")</f>
        <v>?</v>
      </c>
      <c r="I74" s="428" t="str">
        <f>I75</f>
        <v/>
      </c>
      <c r="J74" s="428" t="str">
        <f t="shared" ref="J74:AD74" si="39">J75</f>
        <v>x</v>
      </c>
      <c r="K74" s="428" t="str">
        <f>K75</f>
        <v/>
      </c>
      <c r="L74" s="428" t="str">
        <f t="shared" si="39"/>
        <v>x</v>
      </c>
      <c r="M74" s="428" t="str">
        <f t="shared" si="39"/>
        <v/>
      </c>
      <c r="N74" s="428" t="str">
        <f t="shared" si="39"/>
        <v>x</v>
      </c>
      <c r="O74" s="428" t="str">
        <f t="shared" si="39"/>
        <v/>
      </c>
      <c r="P74" s="428" t="str">
        <f t="shared" si="39"/>
        <v>x</v>
      </c>
      <c r="Q74" s="428" t="str">
        <f t="shared" si="39"/>
        <v/>
      </c>
      <c r="R74" s="428" t="str">
        <f t="shared" si="39"/>
        <v>x</v>
      </c>
      <c r="S74" s="428" t="str">
        <f t="shared" si="39"/>
        <v/>
      </c>
      <c r="T74" s="428" t="str">
        <f t="shared" si="39"/>
        <v>x</v>
      </c>
      <c r="U74" s="428" t="str">
        <f t="shared" si="39"/>
        <v/>
      </c>
      <c r="V74" s="428" t="str">
        <f t="shared" si="39"/>
        <v>x</v>
      </c>
      <c r="W74" s="428" t="str">
        <f t="shared" si="39"/>
        <v/>
      </c>
      <c r="X74" s="428" t="str">
        <f t="shared" si="39"/>
        <v/>
      </c>
      <c r="Y74" s="428" t="str">
        <f t="shared" si="39"/>
        <v/>
      </c>
      <c r="Z74" s="428" t="str">
        <f t="shared" si="39"/>
        <v>x</v>
      </c>
      <c r="AA74" s="428" t="str">
        <f t="shared" si="39"/>
        <v/>
      </c>
      <c r="AB74" s="428" t="str">
        <f t="shared" si="39"/>
        <v>x</v>
      </c>
      <c r="AC74" s="428" t="str">
        <f t="shared" si="39"/>
        <v/>
      </c>
      <c r="AD74" s="428" t="str">
        <f t="shared" si="39"/>
        <v>x</v>
      </c>
    </row>
    <row r="75" spans="1:30" ht="25.5" customHeight="1" x14ac:dyDescent="0.25">
      <c r="A75" s="212"/>
      <c r="B75" s="569" t="s">
        <v>1059</v>
      </c>
      <c r="C75" s="570"/>
      <c r="D75" s="571"/>
      <c r="E75" s="429"/>
      <c r="F75" s="430" t="s">
        <v>31</v>
      </c>
      <c r="G75" s="426"/>
      <c r="H75" s="287"/>
      <c r="I75" s="345" t="str">
        <f>IF(COUNTIF(I76:I76,"x")=0,"","x")</f>
        <v/>
      </c>
      <c r="J75" s="345" t="str">
        <f t="shared" ref="J75:AD75" si="40">IF(COUNTIF(J76:J76,"x")=0,"","x")</f>
        <v>x</v>
      </c>
      <c r="K75" s="345" t="str">
        <f t="shared" si="40"/>
        <v/>
      </c>
      <c r="L75" s="345" t="str">
        <f t="shared" si="40"/>
        <v>x</v>
      </c>
      <c r="M75" s="345" t="str">
        <f t="shared" si="40"/>
        <v/>
      </c>
      <c r="N75" s="345" t="str">
        <f t="shared" si="40"/>
        <v>x</v>
      </c>
      <c r="O75" s="345" t="str">
        <f t="shared" si="40"/>
        <v/>
      </c>
      <c r="P75" s="345" t="str">
        <f t="shared" si="40"/>
        <v>x</v>
      </c>
      <c r="Q75" s="345" t="str">
        <f t="shared" si="40"/>
        <v/>
      </c>
      <c r="R75" s="345" t="str">
        <f t="shared" si="40"/>
        <v>x</v>
      </c>
      <c r="S75" s="345" t="str">
        <f t="shared" si="40"/>
        <v/>
      </c>
      <c r="T75" s="345" t="str">
        <f t="shared" si="40"/>
        <v>x</v>
      </c>
      <c r="U75" s="345" t="str">
        <f t="shared" si="40"/>
        <v/>
      </c>
      <c r="V75" s="345" t="str">
        <f t="shared" si="40"/>
        <v>x</v>
      </c>
      <c r="W75" s="345" t="str">
        <f t="shared" si="40"/>
        <v/>
      </c>
      <c r="X75" s="345" t="str">
        <f t="shared" si="40"/>
        <v/>
      </c>
      <c r="Y75" s="345" t="str">
        <f t="shared" si="40"/>
        <v/>
      </c>
      <c r="Z75" s="345" t="str">
        <f t="shared" si="40"/>
        <v>x</v>
      </c>
      <c r="AA75" s="345" t="str">
        <f t="shared" si="40"/>
        <v/>
      </c>
      <c r="AB75" s="345" t="str">
        <f t="shared" si="40"/>
        <v>x</v>
      </c>
      <c r="AC75" s="345" t="str">
        <f t="shared" si="40"/>
        <v/>
      </c>
      <c r="AD75" s="345" t="str">
        <f t="shared" si="40"/>
        <v>x</v>
      </c>
    </row>
    <row r="76" spans="1:30" ht="50" x14ac:dyDescent="0.25">
      <c r="A76" s="212" t="s">
        <v>826</v>
      </c>
      <c r="B76" s="39" t="s">
        <v>52</v>
      </c>
      <c r="C76" s="373" t="s">
        <v>1255</v>
      </c>
      <c r="D76" s="5" t="s">
        <v>813</v>
      </c>
      <c r="E76" s="144"/>
      <c r="F76" s="301"/>
      <c r="G76" s="148"/>
      <c r="H76" s="287" t="str">
        <f>HYPERLINK(CONCATENATE("http://garwiki.regn.net/mediawiki/index.php/Scorecard_Rule_",MID(A76,FIND(":",A76)+1,9)),"?")</f>
        <v>?</v>
      </c>
      <c r="I76" s="105"/>
      <c r="J76" s="105" t="s">
        <v>144</v>
      </c>
      <c r="K76" s="105"/>
      <c r="L76" s="105" t="s">
        <v>144</v>
      </c>
      <c r="M76" s="307"/>
      <c r="N76" s="307" t="s">
        <v>144</v>
      </c>
      <c r="O76" s="106"/>
      <c r="P76" s="105" t="s">
        <v>144</v>
      </c>
      <c r="Q76" s="106"/>
      <c r="R76" s="105" t="s">
        <v>144</v>
      </c>
      <c r="S76" s="106"/>
      <c r="T76" s="105" t="s">
        <v>144</v>
      </c>
      <c r="U76" s="106"/>
      <c r="V76" s="105" t="s">
        <v>144</v>
      </c>
      <c r="W76" s="105"/>
      <c r="X76" s="105"/>
      <c r="Y76" s="106"/>
      <c r="Z76" s="105" t="s">
        <v>144</v>
      </c>
      <c r="AA76" s="105"/>
      <c r="AB76" s="105" t="s">
        <v>144</v>
      </c>
      <c r="AC76" s="106"/>
      <c r="AD76" s="105" t="s">
        <v>144</v>
      </c>
    </row>
    <row r="77" spans="1:30" ht="13" x14ac:dyDescent="0.25">
      <c r="A77" s="212" t="s">
        <v>1096</v>
      </c>
      <c r="B77" s="132" t="s">
        <v>143</v>
      </c>
      <c r="C77" s="427" t="s">
        <v>1256</v>
      </c>
      <c r="D77" s="577" t="s">
        <v>1188</v>
      </c>
      <c r="E77" s="575"/>
      <c r="F77" s="575"/>
      <c r="G77" s="578"/>
      <c r="H77" s="287" t="str">
        <f>HYPERLINK(CONCATENATE("http://garwiki.regn.net/mediawiki/index.php/",SUBSTITUTE(D77," ","_"),"_(golden_rule)"),"?")</f>
        <v>?</v>
      </c>
      <c r="I77" s="428" t="str">
        <f>I78</f>
        <v>x</v>
      </c>
      <c r="J77" s="428" t="str">
        <f t="shared" ref="J77:AD77" si="41">J78</f>
        <v>x</v>
      </c>
      <c r="K77" s="428" t="str">
        <f>K78</f>
        <v>x</v>
      </c>
      <c r="L77" s="428" t="str">
        <f t="shared" si="41"/>
        <v>x</v>
      </c>
      <c r="M77" s="428" t="str">
        <f t="shared" si="41"/>
        <v>x</v>
      </c>
      <c r="N77" s="428" t="str">
        <f t="shared" si="41"/>
        <v>x</v>
      </c>
      <c r="O77" s="428" t="str">
        <f t="shared" si="41"/>
        <v>x</v>
      </c>
      <c r="P77" s="428" t="str">
        <f t="shared" si="41"/>
        <v>x</v>
      </c>
      <c r="Q77" s="428" t="str">
        <f t="shared" si="41"/>
        <v>x</v>
      </c>
      <c r="R77" s="428" t="str">
        <f t="shared" si="41"/>
        <v>x</v>
      </c>
      <c r="S77" s="428" t="str">
        <f t="shared" si="41"/>
        <v>x</v>
      </c>
      <c r="T77" s="428" t="str">
        <f t="shared" si="41"/>
        <v>x</v>
      </c>
      <c r="U77" s="428" t="str">
        <f t="shared" si="41"/>
        <v>x</v>
      </c>
      <c r="V77" s="428" t="str">
        <f t="shared" si="41"/>
        <v>x</v>
      </c>
      <c r="W77" s="428" t="str">
        <f t="shared" si="41"/>
        <v>x</v>
      </c>
      <c r="X77" s="428" t="str">
        <f t="shared" si="41"/>
        <v>x</v>
      </c>
      <c r="Y77" s="428" t="str">
        <f t="shared" si="41"/>
        <v>x</v>
      </c>
      <c r="Z77" s="428" t="str">
        <f t="shared" si="41"/>
        <v>x</v>
      </c>
      <c r="AA77" s="428" t="str">
        <f t="shared" si="41"/>
        <v>x</v>
      </c>
      <c r="AB77" s="428" t="str">
        <f t="shared" si="41"/>
        <v>x</v>
      </c>
      <c r="AC77" s="428" t="str">
        <f t="shared" si="41"/>
        <v>x</v>
      </c>
      <c r="AD77" s="428" t="str">
        <f t="shared" si="41"/>
        <v>x</v>
      </c>
    </row>
    <row r="78" spans="1:30" x14ac:dyDescent="0.25">
      <c r="A78" s="212"/>
      <c r="B78" s="569" t="s">
        <v>1188</v>
      </c>
      <c r="C78" s="570"/>
      <c r="D78" s="571"/>
      <c r="E78" s="429"/>
      <c r="F78" s="430" t="s">
        <v>31</v>
      </c>
      <c r="G78" s="426"/>
      <c r="H78" s="287"/>
      <c r="I78" s="345" t="str">
        <f>IF(COUNTIF(I79:I82,"x")=0,"","x")</f>
        <v>x</v>
      </c>
      <c r="J78" s="345" t="str">
        <f t="shared" ref="J78:AD78" si="42">IF(COUNTIF(J79:J82,"x")=0,"","x")</f>
        <v>x</v>
      </c>
      <c r="K78" s="345" t="str">
        <f t="shared" si="42"/>
        <v>x</v>
      </c>
      <c r="L78" s="345" t="str">
        <f t="shared" si="42"/>
        <v>x</v>
      </c>
      <c r="M78" s="345" t="str">
        <f t="shared" si="42"/>
        <v>x</v>
      </c>
      <c r="N78" s="345" t="str">
        <f t="shared" si="42"/>
        <v>x</v>
      </c>
      <c r="O78" s="345" t="str">
        <f t="shared" si="42"/>
        <v>x</v>
      </c>
      <c r="P78" s="345" t="str">
        <f t="shared" si="42"/>
        <v>x</v>
      </c>
      <c r="Q78" s="345" t="str">
        <f t="shared" si="42"/>
        <v>x</v>
      </c>
      <c r="R78" s="345" t="str">
        <f t="shared" si="42"/>
        <v>x</v>
      </c>
      <c r="S78" s="345" t="str">
        <f t="shared" si="42"/>
        <v>x</v>
      </c>
      <c r="T78" s="345" t="str">
        <f t="shared" si="42"/>
        <v>x</v>
      </c>
      <c r="U78" s="345" t="str">
        <f t="shared" si="42"/>
        <v>x</v>
      </c>
      <c r="V78" s="345" t="str">
        <f t="shared" si="42"/>
        <v>x</v>
      </c>
      <c r="W78" s="345" t="str">
        <f t="shared" si="42"/>
        <v>x</v>
      </c>
      <c r="X78" s="345" t="str">
        <f t="shared" si="42"/>
        <v>x</v>
      </c>
      <c r="Y78" s="345" t="str">
        <f t="shared" si="42"/>
        <v>x</v>
      </c>
      <c r="Z78" s="345" t="str">
        <f t="shared" si="42"/>
        <v>x</v>
      </c>
      <c r="AA78" s="345" t="str">
        <f t="shared" si="42"/>
        <v>x</v>
      </c>
      <c r="AB78" s="345" t="str">
        <f t="shared" si="42"/>
        <v>x</v>
      </c>
      <c r="AC78" s="345" t="str">
        <f t="shared" si="42"/>
        <v>x</v>
      </c>
      <c r="AD78" s="345" t="str">
        <f t="shared" si="42"/>
        <v>x</v>
      </c>
    </row>
    <row r="79" spans="1:30" ht="37.5" x14ac:dyDescent="0.25">
      <c r="A79" s="212" t="s">
        <v>825</v>
      </c>
      <c r="B79" s="39" t="s">
        <v>52</v>
      </c>
      <c r="C79" s="373" t="s">
        <v>1257</v>
      </c>
      <c r="D79" s="5" t="s">
        <v>1060</v>
      </c>
      <c r="E79" s="144"/>
      <c r="F79" s="301"/>
      <c r="G79" s="148"/>
      <c r="H79" s="287" t="str">
        <f>HYPERLINK(CONCATENATE("http://garwiki.regn.net/mediawiki/index.php/Scorecard_Rule_",MID(A79,FIND(":",A79)+1,9)),"?")</f>
        <v>?</v>
      </c>
      <c r="I79" s="105" t="s">
        <v>144</v>
      </c>
      <c r="J79" s="105" t="s">
        <v>144</v>
      </c>
      <c r="K79" s="105" t="s">
        <v>144</v>
      </c>
      <c r="L79" s="105" t="s">
        <v>144</v>
      </c>
      <c r="M79" s="307"/>
      <c r="N79" s="307" t="s">
        <v>144</v>
      </c>
      <c r="O79" s="105" t="s">
        <v>144</v>
      </c>
      <c r="P79" s="105" t="s">
        <v>144</v>
      </c>
      <c r="Q79" s="105" t="s">
        <v>144</v>
      </c>
      <c r="R79" s="105" t="s">
        <v>144</v>
      </c>
      <c r="S79" s="106"/>
      <c r="T79" s="105" t="s">
        <v>144</v>
      </c>
      <c r="U79" s="345" t="s">
        <v>144</v>
      </c>
      <c r="V79" s="345" t="s">
        <v>144</v>
      </c>
      <c r="W79" s="345" t="s">
        <v>144</v>
      </c>
      <c r="X79" s="345" t="s">
        <v>144</v>
      </c>
      <c r="Y79" s="345" t="s">
        <v>144</v>
      </c>
      <c r="Z79" s="345" t="s">
        <v>144</v>
      </c>
      <c r="AA79" s="345" t="s">
        <v>144</v>
      </c>
      <c r="AB79" s="345" t="s">
        <v>144</v>
      </c>
      <c r="AC79" s="345" t="s">
        <v>144</v>
      </c>
      <c r="AD79" s="345" t="s">
        <v>144</v>
      </c>
    </row>
    <row r="80" spans="1:30" ht="25" x14ac:dyDescent="0.25">
      <c r="A80" s="212" t="s">
        <v>712</v>
      </c>
      <c r="B80" s="431" t="s">
        <v>52</v>
      </c>
      <c r="C80" s="373" t="s">
        <v>1258</v>
      </c>
      <c r="D80" s="401" t="s">
        <v>1061</v>
      </c>
      <c r="E80" s="432"/>
      <c r="F80" s="433"/>
      <c r="G80" s="406"/>
      <c r="H80" s="287" t="str">
        <f t="shared" ref="H80:H82" si="43">HYPERLINK(CONCATENATE("http://garwiki.regn.net/mediawiki/index.php/Scorecard_Rule_",MID(A80,FIND(":",A80)+1,9)),"?")</f>
        <v>?</v>
      </c>
      <c r="I80" s="345" t="s">
        <v>144</v>
      </c>
      <c r="J80" s="345" t="s">
        <v>144</v>
      </c>
      <c r="K80" s="345" t="s">
        <v>144</v>
      </c>
      <c r="L80" s="345" t="s">
        <v>144</v>
      </c>
      <c r="M80" s="345" t="s">
        <v>144</v>
      </c>
      <c r="N80" s="345" t="s">
        <v>144</v>
      </c>
      <c r="O80" s="345" t="s">
        <v>144</v>
      </c>
      <c r="P80" s="345" t="s">
        <v>144</v>
      </c>
      <c r="Q80" s="345" t="s">
        <v>144</v>
      </c>
      <c r="R80" s="345" t="s">
        <v>144</v>
      </c>
      <c r="S80" s="345" t="s">
        <v>144</v>
      </c>
      <c r="T80" s="345" t="s">
        <v>144</v>
      </c>
      <c r="U80" s="345" t="s">
        <v>144</v>
      </c>
      <c r="V80" s="345" t="s">
        <v>144</v>
      </c>
      <c r="W80" s="345" t="s">
        <v>144</v>
      </c>
      <c r="X80" s="345" t="s">
        <v>144</v>
      </c>
      <c r="Y80" s="345" t="s">
        <v>144</v>
      </c>
      <c r="Z80" s="345" t="s">
        <v>144</v>
      </c>
      <c r="AA80" s="345" t="s">
        <v>144</v>
      </c>
      <c r="AB80" s="345" t="s">
        <v>144</v>
      </c>
      <c r="AC80" s="345" t="s">
        <v>144</v>
      </c>
      <c r="AD80" s="345" t="s">
        <v>144</v>
      </c>
    </row>
    <row r="81" spans="1:30" ht="25" x14ac:dyDescent="0.25">
      <c r="A81" s="212" t="s">
        <v>1116</v>
      </c>
      <c r="B81" s="39" t="s">
        <v>52</v>
      </c>
      <c r="C81" s="373" t="s">
        <v>1259</v>
      </c>
      <c r="D81" s="5" t="s">
        <v>1062</v>
      </c>
      <c r="E81" s="144"/>
      <c r="F81" s="301"/>
      <c r="G81" s="148"/>
      <c r="H81" s="287" t="str">
        <f t="shared" si="43"/>
        <v>?</v>
      </c>
      <c r="I81" s="105" t="s">
        <v>144</v>
      </c>
      <c r="J81" s="105" t="s">
        <v>144</v>
      </c>
      <c r="K81" s="105" t="s">
        <v>144</v>
      </c>
      <c r="L81" s="105" t="s">
        <v>144</v>
      </c>
      <c r="M81" s="342"/>
      <c r="N81" s="342" t="s">
        <v>144</v>
      </c>
      <c r="O81" s="106"/>
      <c r="P81" s="105" t="s">
        <v>144</v>
      </c>
      <c r="Q81" s="106"/>
      <c r="R81" s="105" t="s">
        <v>144</v>
      </c>
      <c r="S81" s="106"/>
      <c r="T81" s="345" t="s">
        <v>144</v>
      </c>
      <c r="U81" s="345" t="s">
        <v>144</v>
      </c>
      <c r="V81" s="345" t="s">
        <v>144</v>
      </c>
      <c r="W81" s="345" t="s">
        <v>144</v>
      </c>
      <c r="X81" s="345" t="s">
        <v>144</v>
      </c>
      <c r="Y81" s="345" t="s">
        <v>144</v>
      </c>
      <c r="Z81" s="345" t="s">
        <v>144</v>
      </c>
      <c r="AA81" s="345" t="s">
        <v>144</v>
      </c>
      <c r="AB81" s="345" t="s">
        <v>144</v>
      </c>
      <c r="AC81" s="345" t="s">
        <v>144</v>
      </c>
      <c r="AD81" s="345" t="s">
        <v>144</v>
      </c>
    </row>
    <row r="82" spans="1:30" ht="25" x14ac:dyDescent="0.25">
      <c r="A82" s="212" t="s">
        <v>711</v>
      </c>
      <c r="B82" s="431" t="s">
        <v>52</v>
      </c>
      <c r="C82" s="373" t="s">
        <v>1260</v>
      </c>
      <c r="D82" s="434" t="s">
        <v>1063</v>
      </c>
      <c r="E82" s="432"/>
      <c r="F82" s="433"/>
      <c r="G82" s="406"/>
      <c r="H82" s="287" t="str">
        <f t="shared" si="43"/>
        <v>?</v>
      </c>
      <c r="I82" s="345" t="s">
        <v>144</v>
      </c>
      <c r="J82" s="345" t="s">
        <v>144</v>
      </c>
      <c r="K82" s="345" t="s">
        <v>144</v>
      </c>
      <c r="L82" s="345" t="s">
        <v>144</v>
      </c>
      <c r="M82" s="345" t="s">
        <v>144</v>
      </c>
      <c r="N82" s="345" t="s">
        <v>144</v>
      </c>
      <c r="O82" s="345" t="s">
        <v>144</v>
      </c>
      <c r="P82" s="345" t="s">
        <v>144</v>
      </c>
      <c r="Q82" s="345" t="s">
        <v>144</v>
      </c>
      <c r="R82" s="345" t="s">
        <v>144</v>
      </c>
      <c r="S82" s="345" t="s">
        <v>144</v>
      </c>
      <c r="T82" s="345" t="s">
        <v>144</v>
      </c>
      <c r="U82" s="345" t="s">
        <v>144</v>
      </c>
      <c r="V82" s="345" t="s">
        <v>144</v>
      </c>
      <c r="W82" s="345" t="s">
        <v>144</v>
      </c>
      <c r="X82" s="345" t="s">
        <v>144</v>
      </c>
      <c r="Y82" s="345" t="s">
        <v>144</v>
      </c>
      <c r="Z82" s="345" t="s">
        <v>144</v>
      </c>
      <c r="AA82" s="345" t="s">
        <v>144</v>
      </c>
      <c r="AB82" s="345" t="s">
        <v>144</v>
      </c>
      <c r="AC82" s="345" t="s">
        <v>144</v>
      </c>
      <c r="AD82" s="345" t="s">
        <v>144</v>
      </c>
    </row>
  </sheetData>
  <sheetProtection formatColumns="0" formatRows="0"/>
  <mergeCells count="51">
    <mergeCell ref="W2:X2"/>
    <mergeCell ref="AC2:AD2"/>
    <mergeCell ref="U2:V2"/>
    <mergeCell ref="S2:T2"/>
    <mergeCell ref="B22:D22"/>
    <mergeCell ref="AA2:AB2"/>
    <mergeCell ref="Y2:Z2"/>
    <mergeCell ref="D15:G15"/>
    <mergeCell ref="B16:D16"/>
    <mergeCell ref="Q2:R2"/>
    <mergeCell ref="M2:N2"/>
    <mergeCell ref="B2:D2"/>
    <mergeCell ref="B6:D6"/>
    <mergeCell ref="B19:D19"/>
    <mergeCell ref="D5:G5"/>
    <mergeCell ref="D18:G18"/>
    <mergeCell ref="K2:L2"/>
    <mergeCell ref="D11:G11"/>
    <mergeCell ref="B12:D12"/>
    <mergeCell ref="D37:G37"/>
    <mergeCell ref="D1:G1"/>
    <mergeCell ref="D21:G21"/>
    <mergeCell ref="I2:J2"/>
    <mergeCell ref="O2:P2"/>
    <mergeCell ref="D54:G54"/>
    <mergeCell ref="D65:G65"/>
    <mergeCell ref="B66:D66"/>
    <mergeCell ref="D25:G25"/>
    <mergeCell ref="D28:G28"/>
    <mergeCell ref="D32:G32"/>
    <mergeCell ref="B49:D49"/>
    <mergeCell ref="B45:D45"/>
    <mergeCell ref="B42:D42"/>
    <mergeCell ref="B26:D26"/>
    <mergeCell ref="B29:D29"/>
    <mergeCell ref="B33:D33"/>
    <mergeCell ref="B38:D38"/>
    <mergeCell ref="D41:G41"/>
    <mergeCell ref="D44:G44"/>
    <mergeCell ref="D48:G48"/>
    <mergeCell ref="B78:D78"/>
    <mergeCell ref="B55:D55"/>
    <mergeCell ref="D58:G58"/>
    <mergeCell ref="B59:D59"/>
    <mergeCell ref="D71:G71"/>
    <mergeCell ref="B72:D72"/>
    <mergeCell ref="D74:G74"/>
    <mergeCell ref="B75:D75"/>
    <mergeCell ref="D77:G77"/>
    <mergeCell ref="D68:G68"/>
    <mergeCell ref="B69:D69"/>
  </mergeCells>
  <phoneticPr fontId="2" type="noConversion"/>
  <conditionalFormatting sqref="E2:E10 E14 E18:E33 E35:E50 E53:E55 E57:E60 E63:E64 E67:E69 E76 E79">
    <cfRule type="cellIs" dxfId="358" priority="171" operator="equal">
      <formula>"N/A"</formula>
    </cfRule>
    <cfRule type="cellIs" dxfId="357" priority="337" stopIfTrue="1" operator="equal">
      <formula>"Yes-N/A"</formula>
    </cfRule>
    <cfRule type="cellIs" dxfId="356" priority="338" stopIfTrue="1" operator="equal">
      <formula>"P-WVR"</formula>
    </cfRule>
    <cfRule type="cellIs" dxfId="355" priority="339" stopIfTrue="1" operator="equal">
      <formula>"No"</formula>
    </cfRule>
    <cfRule type="cellIs" dxfId="354" priority="340" stopIfTrue="1" operator="equal">
      <formula>"Yes"</formula>
    </cfRule>
    <cfRule type="cellIs" dxfId="353" priority="341" stopIfTrue="1" operator="equal">
      <formula>"WVR"</formula>
    </cfRule>
    <cfRule type="cellIs" dxfId="352" priority="342" stopIfTrue="1" operator="equal">
      <formula>"T-WVR"</formula>
    </cfRule>
    <cfRule type="cellIs" dxfId="351" priority="343" stopIfTrue="1" operator="equal">
      <formula>"R"</formula>
    </cfRule>
    <cfRule type="cellIs" dxfId="350" priority="344" stopIfTrue="1" operator="equal">
      <formula>"Y"</formula>
    </cfRule>
    <cfRule type="cellIs" dxfId="349" priority="345" stopIfTrue="1" operator="equal">
      <formula>"G"</formula>
    </cfRule>
  </conditionalFormatting>
  <conditionalFormatting sqref="E62">
    <cfRule type="cellIs" dxfId="348" priority="161" operator="equal">
      <formula>"N/A"</formula>
    </cfRule>
    <cfRule type="cellIs" dxfId="347" priority="162" stopIfTrue="1" operator="equal">
      <formula>"Yes-N/A"</formula>
    </cfRule>
    <cfRule type="cellIs" dxfId="346" priority="163" stopIfTrue="1" operator="equal">
      <formula>"P-WVR"</formula>
    </cfRule>
    <cfRule type="cellIs" dxfId="345" priority="164" stopIfTrue="1" operator="equal">
      <formula>"No"</formula>
    </cfRule>
    <cfRule type="cellIs" dxfId="344" priority="165" stopIfTrue="1" operator="equal">
      <formula>"Yes"</formula>
    </cfRule>
    <cfRule type="cellIs" dxfId="343" priority="166" stopIfTrue="1" operator="equal">
      <formula>"WVR"</formula>
    </cfRule>
    <cfRule type="cellIs" dxfId="342" priority="167" stopIfTrue="1" operator="equal">
      <formula>"T-WVR"</formula>
    </cfRule>
    <cfRule type="cellIs" dxfId="341" priority="168" stopIfTrue="1" operator="equal">
      <formula>"R"</formula>
    </cfRule>
    <cfRule type="cellIs" dxfId="340" priority="169" stopIfTrue="1" operator="equal">
      <formula>"Y"</formula>
    </cfRule>
    <cfRule type="cellIs" dxfId="339" priority="170" stopIfTrue="1" operator="equal">
      <formula>"G"</formula>
    </cfRule>
  </conditionalFormatting>
  <conditionalFormatting sqref="E61">
    <cfRule type="cellIs" dxfId="338" priority="151" operator="equal">
      <formula>"N/A"</formula>
    </cfRule>
    <cfRule type="cellIs" dxfId="337" priority="152" stopIfTrue="1" operator="equal">
      <formula>"Yes-N/A"</formula>
    </cfRule>
    <cfRule type="cellIs" dxfId="336" priority="153" stopIfTrue="1" operator="equal">
      <formula>"P-WVR"</formula>
    </cfRule>
    <cfRule type="cellIs" dxfId="335" priority="154" stopIfTrue="1" operator="equal">
      <formula>"No"</formula>
    </cfRule>
    <cfRule type="cellIs" dxfId="334" priority="155" stopIfTrue="1" operator="equal">
      <formula>"Yes"</formula>
    </cfRule>
    <cfRule type="cellIs" dxfId="333" priority="156" stopIfTrue="1" operator="equal">
      <formula>"WVR"</formula>
    </cfRule>
    <cfRule type="cellIs" dxfId="332" priority="157" stopIfTrue="1" operator="equal">
      <formula>"T-WVR"</formula>
    </cfRule>
    <cfRule type="cellIs" dxfId="331" priority="158" stopIfTrue="1" operator="equal">
      <formula>"R"</formula>
    </cfRule>
    <cfRule type="cellIs" dxfId="330" priority="159" stopIfTrue="1" operator="equal">
      <formula>"Y"</formula>
    </cfRule>
    <cfRule type="cellIs" dxfId="329" priority="160" stopIfTrue="1" operator="equal">
      <formula>"G"</formula>
    </cfRule>
  </conditionalFormatting>
  <conditionalFormatting sqref="E70">
    <cfRule type="cellIs" dxfId="328" priority="121" stopIfTrue="1" operator="equal">
      <formula>"N/A"</formula>
    </cfRule>
    <cfRule type="cellIs" dxfId="327" priority="122" stopIfTrue="1" operator="equal">
      <formula>"Yes-N/A"</formula>
    </cfRule>
    <cfRule type="cellIs" dxfId="326" priority="123" stopIfTrue="1" operator="equal">
      <formula>"P-WVR"</formula>
    </cfRule>
    <cfRule type="cellIs" dxfId="325" priority="124" stopIfTrue="1" operator="equal">
      <formula>"No"</formula>
    </cfRule>
    <cfRule type="cellIs" dxfId="324" priority="125" stopIfTrue="1" operator="equal">
      <formula>"Yes"</formula>
    </cfRule>
    <cfRule type="cellIs" dxfId="323" priority="126" stopIfTrue="1" operator="equal">
      <formula>"WVR"</formula>
    </cfRule>
    <cfRule type="cellIs" dxfId="322" priority="127" stopIfTrue="1" operator="equal">
      <formula>"T-WVR"</formula>
    </cfRule>
    <cfRule type="cellIs" dxfId="321" priority="128" stopIfTrue="1" operator="equal">
      <formula>"R"</formula>
    </cfRule>
    <cfRule type="cellIs" dxfId="320" priority="129" stopIfTrue="1" operator="equal">
      <formula>"Y"</formula>
    </cfRule>
    <cfRule type="cellIs" dxfId="319" priority="130" stopIfTrue="1" operator="equal">
      <formula>"G"</formula>
    </cfRule>
  </conditionalFormatting>
  <conditionalFormatting sqref="E56">
    <cfRule type="cellIs" dxfId="318" priority="111" operator="equal">
      <formula>"N/A"</formula>
    </cfRule>
    <cfRule type="cellIs" dxfId="317" priority="112" stopIfTrue="1" operator="equal">
      <formula>"Yes-N/A"</formula>
    </cfRule>
    <cfRule type="cellIs" dxfId="316" priority="113" stopIfTrue="1" operator="equal">
      <formula>"P-WVR"</formula>
    </cfRule>
    <cfRule type="cellIs" dxfId="315" priority="114" stopIfTrue="1" operator="equal">
      <formula>"No"</formula>
    </cfRule>
    <cfRule type="cellIs" dxfId="314" priority="115" stopIfTrue="1" operator="equal">
      <formula>"Yes"</formula>
    </cfRule>
    <cfRule type="cellIs" dxfId="313" priority="116" stopIfTrue="1" operator="equal">
      <formula>"WVR"</formula>
    </cfRule>
    <cfRule type="cellIs" dxfId="312" priority="117" stopIfTrue="1" operator="equal">
      <formula>"T-WVR"</formula>
    </cfRule>
    <cfRule type="cellIs" dxfId="311" priority="118" stopIfTrue="1" operator="equal">
      <formula>"R"</formula>
    </cfRule>
    <cfRule type="cellIs" dxfId="310" priority="119" stopIfTrue="1" operator="equal">
      <formula>"Y"</formula>
    </cfRule>
    <cfRule type="cellIs" dxfId="309" priority="120" stopIfTrue="1" operator="equal">
      <formula>"G"</formula>
    </cfRule>
  </conditionalFormatting>
  <conditionalFormatting sqref="E11:E13">
    <cfRule type="cellIs" dxfId="308" priority="101" operator="equal">
      <formula>"N/A"</formula>
    </cfRule>
    <cfRule type="cellIs" dxfId="307" priority="102" stopIfTrue="1" operator="equal">
      <formula>"Yes-N/A"</formula>
    </cfRule>
    <cfRule type="cellIs" dxfId="306" priority="103" stopIfTrue="1" operator="equal">
      <formula>"P-WVR"</formula>
    </cfRule>
    <cfRule type="cellIs" dxfId="305" priority="104" stopIfTrue="1" operator="equal">
      <formula>"No"</formula>
    </cfRule>
    <cfRule type="cellIs" dxfId="304" priority="105" stopIfTrue="1" operator="equal">
      <formula>"Yes"</formula>
    </cfRule>
    <cfRule type="cellIs" dxfId="303" priority="106" stopIfTrue="1" operator="equal">
      <formula>"WVR"</formula>
    </cfRule>
    <cfRule type="cellIs" dxfId="302" priority="107" stopIfTrue="1" operator="equal">
      <formula>"T-WVR"</formula>
    </cfRule>
    <cfRule type="cellIs" dxfId="301" priority="108" stopIfTrue="1" operator="equal">
      <formula>"R"</formula>
    </cfRule>
    <cfRule type="cellIs" dxfId="300" priority="109" stopIfTrue="1" operator="equal">
      <formula>"Y"</formula>
    </cfRule>
    <cfRule type="cellIs" dxfId="299" priority="110" stopIfTrue="1" operator="equal">
      <formula>"G"</formula>
    </cfRule>
  </conditionalFormatting>
  <conditionalFormatting sqref="E15:E17">
    <cfRule type="cellIs" dxfId="298" priority="91" operator="equal">
      <formula>"N/A"</formula>
    </cfRule>
    <cfRule type="cellIs" dxfId="297" priority="92" stopIfTrue="1" operator="equal">
      <formula>"Yes-N/A"</formula>
    </cfRule>
    <cfRule type="cellIs" dxfId="296" priority="93" stopIfTrue="1" operator="equal">
      <formula>"P-WVR"</formula>
    </cfRule>
    <cfRule type="cellIs" dxfId="295" priority="94" stopIfTrue="1" operator="equal">
      <formula>"No"</formula>
    </cfRule>
    <cfRule type="cellIs" dxfId="294" priority="95" stopIfTrue="1" operator="equal">
      <formula>"Yes"</formula>
    </cfRule>
    <cfRule type="cellIs" dxfId="293" priority="96" stopIfTrue="1" operator="equal">
      <formula>"WVR"</formula>
    </cfRule>
    <cfRule type="cellIs" dxfId="292" priority="97" stopIfTrue="1" operator="equal">
      <formula>"T-WVR"</formula>
    </cfRule>
    <cfRule type="cellIs" dxfId="291" priority="98" stopIfTrue="1" operator="equal">
      <formula>"R"</formula>
    </cfRule>
    <cfRule type="cellIs" dxfId="290" priority="99" stopIfTrue="1" operator="equal">
      <formula>"Y"</formula>
    </cfRule>
    <cfRule type="cellIs" dxfId="289" priority="100" stopIfTrue="1" operator="equal">
      <formula>"G"</formula>
    </cfRule>
  </conditionalFormatting>
  <conditionalFormatting sqref="E34">
    <cfRule type="cellIs" dxfId="288" priority="81" operator="equal">
      <formula>"N/A"</formula>
    </cfRule>
    <cfRule type="cellIs" dxfId="287" priority="82" stopIfTrue="1" operator="equal">
      <formula>"Yes-N/A"</formula>
    </cfRule>
    <cfRule type="cellIs" dxfId="286" priority="83" stopIfTrue="1" operator="equal">
      <formula>"P-WVR"</formula>
    </cfRule>
    <cfRule type="cellIs" dxfId="285" priority="84" stopIfTrue="1" operator="equal">
      <formula>"No"</formula>
    </cfRule>
    <cfRule type="cellIs" dxfId="284" priority="85" stopIfTrue="1" operator="equal">
      <formula>"Yes"</formula>
    </cfRule>
    <cfRule type="cellIs" dxfId="283" priority="86" stopIfTrue="1" operator="equal">
      <formula>"WVR"</formula>
    </cfRule>
    <cfRule type="cellIs" dxfId="282" priority="87" stopIfTrue="1" operator="equal">
      <formula>"T-WVR"</formula>
    </cfRule>
    <cfRule type="cellIs" dxfId="281" priority="88" stopIfTrue="1" operator="equal">
      <formula>"R"</formula>
    </cfRule>
    <cfRule type="cellIs" dxfId="280" priority="89" stopIfTrue="1" operator="equal">
      <formula>"Y"</formula>
    </cfRule>
    <cfRule type="cellIs" dxfId="279" priority="90" stopIfTrue="1" operator="equal">
      <formula>"G"</formula>
    </cfRule>
  </conditionalFormatting>
  <conditionalFormatting sqref="E51:E52">
    <cfRule type="cellIs" dxfId="278" priority="71" operator="equal">
      <formula>"N/A"</formula>
    </cfRule>
    <cfRule type="cellIs" dxfId="277" priority="72" stopIfTrue="1" operator="equal">
      <formula>"Yes-N/A"</formula>
    </cfRule>
    <cfRule type="cellIs" dxfId="276" priority="73" stopIfTrue="1" operator="equal">
      <formula>"P-WVR"</formula>
    </cfRule>
    <cfRule type="cellIs" dxfId="275" priority="74" stopIfTrue="1" operator="equal">
      <formula>"No"</formula>
    </cfRule>
    <cfRule type="cellIs" dxfId="274" priority="75" stopIfTrue="1" operator="equal">
      <formula>"Yes"</formula>
    </cfRule>
    <cfRule type="cellIs" dxfId="273" priority="76" stopIfTrue="1" operator="equal">
      <formula>"WVR"</formula>
    </cfRule>
    <cfRule type="cellIs" dxfId="272" priority="77" stopIfTrue="1" operator="equal">
      <formula>"T-WVR"</formula>
    </cfRule>
    <cfRule type="cellIs" dxfId="271" priority="78" stopIfTrue="1" operator="equal">
      <formula>"R"</formula>
    </cfRule>
    <cfRule type="cellIs" dxfId="270" priority="79" stopIfTrue="1" operator="equal">
      <formula>"Y"</formula>
    </cfRule>
    <cfRule type="cellIs" dxfId="269" priority="80" stopIfTrue="1" operator="equal">
      <formula>"G"</formula>
    </cfRule>
  </conditionalFormatting>
  <conditionalFormatting sqref="E65:E66">
    <cfRule type="cellIs" dxfId="268" priority="61" operator="equal">
      <formula>"N/A"</formula>
    </cfRule>
    <cfRule type="cellIs" dxfId="267" priority="62" stopIfTrue="1" operator="equal">
      <formula>"Yes-N/A"</formula>
    </cfRule>
    <cfRule type="cellIs" dxfId="266" priority="63" stopIfTrue="1" operator="equal">
      <formula>"P-WVR"</formula>
    </cfRule>
    <cfRule type="cellIs" dxfId="265" priority="64" stopIfTrue="1" operator="equal">
      <formula>"No"</formula>
    </cfRule>
    <cfRule type="cellIs" dxfId="264" priority="65" stopIfTrue="1" operator="equal">
      <formula>"Yes"</formula>
    </cfRule>
    <cfRule type="cellIs" dxfId="263" priority="66" stopIfTrue="1" operator="equal">
      <formula>"WVR"</formula>
    </cfRule>
    <cfRule type="cellIs" dxfId="262" priority="67" stopIfTrue="1" operator="equal">
      <formula>"T-WVR"</formula>
    </cfRule>
    <cfRule type="cellIs" dxfId="261" priority="68" stopIfTrue="1" operator="equal">
      <formula>"R"</formula>
    </cfRule>
    <cfRule type="cellIs" dxfId="260" priority="69" stopIfTrue="1" operator="equal">
      <formula>"Y"</formula>
    </cfRule>
    <cfRule type="cellIs" dxfId="259" priority="70" stopIfTrue="1" operator="equal">
      <formula>"G"</formula>
    </cfRule>
  </conditionalFormatting>
  <conditionalFormatting sqref="E71:E73">
    <cfRule type="cellIs" dxfId="258" priority="51" operator="equal">
      <formula>"N/A"</formula>
    </cfRule>
    <cfRule type="cellIs" dxfId="257" priority="52" stopIfTrue="1" operator="equal">
      <formula>"Yes-N/A"</formula>
    </cfRule>
    <cfRule type="cellIs" dxfId="256" priority="53" stopIfTrue="1" operator="equal">
      <formula>"P-WVR"</formula>
    </cfRule>
    <cfRule type="cellIs" dxfId="255" priority="54" stopIfTrue="1" operator="equal">
      <formula>"No"</formula>
    </cfRule>
    <cfRule type="cellIs" dxfId="254" priority="55" stopIfTrue="1" operator="equal">
      <formula>"Yes"</formula>
    </cfRule>
    <cfRule type="cellIs" dxfId="253" priority="56" stopIfTrue="1" operator="equal">
      <formula>"WVR"</formula>
    </cfRule>
    <cfRule type="cellIs" dxfId="252" priority="57" stopIfTrue="1" operator="equal">
      <formula>"T-WVR"</formula>
    </cfRule>
    <cfRule type="cellIs" dxfId="251" priority="58" stopIfTrue="1" operator="equal">
      <formula>"R"</formula>
    </cfRule>
    <cfRule type="cellIs" dxfId="250" priority="59" stopIfTrue="1" operator="equal">
      <formula>"Y"</formula>
    </cfRule>
    <cfRule type="cellIs" dxfId="249" priority="60" stopIfTrue="1" operator="equal">
      <formula>"G"</formula>
    </cfRule>
  </conditionalFormatting>
  <conditionalFormatting sqref="E74:E75">
    <cfRule type="cellIs" dxfId="248" priority="41" operator="equal">
      <formula>"N/A"</formula>
    </cfRule>
    <cfRule type="cellIs" dxfId="247" priority="42" stopIfTrue="1" operator="equal">
      <formula>"Yes-N/A"</formula>
    </cfRule>
    <cfRule type="cellIs" dxfId="246" priority="43" stopIfTrue="1" operator="equal">
      <formula>"P-WVR"</formula>
    </cfRule>
    <cfRule type="cellIs" dxfId="245" priority="44" stopIfTrue="1" operator="equal">
      <formula>"No"</formula>
    </cfRule>
    <cfRule type="cellIs" dxfId="244" priority="45" stopIfTrue="1" operator="equal">
      <formula>"Yes"</formula>
    </cfRule>
    <cfRule type="cellIs" dxfId="243" priority="46" stopIfTrue="1" operator="equal">
      <formula>"WVR"</formula>
    </cfRule>
    <cfRule type="cellIs" dxfId="242" priority="47" stopIfTrue="1" operator="equal">
      <formula>"T-WVR"</formula>
    </cfRule>
    <cfRule type="cellIs" dxfId="241" priority="48" stopIfTrue="1" operator="equal">
      <formula>"R"</formula>
    </cfRule>
    <cfRule type="cellIs" dxfId="240" priority="49" stopIfTrue="1" operator="equal">
      <formula>"Y"</formula>
    </cfRule>
    <cfRule type="cellIs" dxfId="239" priority="50" stopIfTrue="1" operator="equal">
      <formula>"G"</formula>
    </cfRule>
  </conditionalFormatting>
  <conditionalFormatting sqref="E77:E78">
    <cfRule type="cellIs" dxfId="238" priority="31" operator="equal">
      <formula>"N/A"</formula>
    </cfRule>
    <cfRule type="cellIs" dxfId="237" priority="32" stopIfTrue="1" operator="equal">
      <formula>"Yes-N/A"</formula>
    </cfRule>
    <cfRule type="cellIs" dxfId="236" priority="33" stopIfTrue="1" operator="equal">
      <formula>"P-WVR"</formula>
    </cfRule>
    <cfRule type="cellIs" dxfId="235" priority="34" stopIfTrue="1" operator="equal">
      <formula>"No"</formula>
    </cfRule>
    <cfRule type="cellIs" dxfId="234" priority="35" stopIfTrue="1" operator="equal">
      <formula>"Yes"</formula>
    </cfRule>
    <cfRule type="cellIs" dxfId="233" priority="36" stopIfTrue="1" operator="equal">
      <formula>"WVR"</formula>
    </cfRule>
    <cfRule type="cellIs" dxfId="232" priority="37" stopIfTrue="1" operator="equal">
      <formula>"T-WVR"</formula>
    </cfRule>
    <cfRule type="cellIs" dxfId="231" priority="38" stopIfTrue="1" operator="equal">
      <formula>"R"</formula>
    </cfRule>
    <cfRule type="cellIs" dxfId="230" priority="39" stopIfTrue="1" operator="equal">
      <formula>"Y"</formula>
    </cfRule>
    <cfRule type="cellIs" dxfId="229" priority="40" stopIfTrue="1" operator="equal">
      <formula>"G"</formula>
    </cfRule>
  </conditionalFormatting>
  <conditionalFormatting sqref="E80">
    <cfRule type="cellIs" dxfId="228" priority="21" stopIfTrue="1" operator="equal">
      <formula>"N/A"</formula>
    </cfRule>
    <cfRule type="cellIs" dxfId="227" priority="22" stopIfTrue="1" operator="equal">
      <formula>"Yes-N/A"</formula>
    </cfRule>
    <cfRule type="cellIs" dxfId="226" priority="23" stopIfTrue="1" operator="equal">
      <formula>"P-WVR"</formula>
    </cfRule>
    <cfRule type="cellIs" dxfId="225" priority="24" stopIfTrue="1" operator="equal">
      <formula>"No"</formula>
    </cfRule>
    <cfRule type="cellIs" dxfId="224" priority="25" stopIfTrue="1" operator="equal">
      <formula>"Yes"</formula>
    </cfRule>
    <cfRule type="cellIs" dxfId="223" priority="26" stopIfTrue="1" operator="equal">
      <formula>"WVR"</formula>
    </cfRule>
    <cfRule type="cellIs" dxfId="222" priority="27" stopIfTrue="1" operator="equal">
      <formula>"T-WVR"</formula>
    </cfRule>
    <cfRule type="cellIs" dxfId="221" priority="28" stopIfTrue="1" operator="equal">
      <formula>"R"</formula>
    </cfRule>
    <cfRule type="cellIs" dxfId="220" priority="29" stopIfTrue="1" operator="equal">
      <formula>"Y"</formula>
    </cfRule>
    <cfRule type="cellIs" dxfId="219" priority="30" stopIfTrue="1" operator="equal">
      <formula>"G"</formula>
    </cfRule>
  </conditionalFormatting>
  <conditionalFormatting sqref="E81">
    <cfRule type="cellIs" dxfId="218" priority="11" operator="equal">
      <formula>"N/A"</formula>
    </cfRule>
    <cfRule type="cellIs" dxfId="217" priority="12" stopIfTrue="1" operator="equal">
      <formula>"Yes-N/A"</formula>
    </cfRule>
    <cfRule type="cellIs" dxfId="216" priority="13" stopIfTrue="1" operator="equal">
      <formula>"P-WVR"</formula>
    </cfRule>
    <cfRule type="cellIs" dxfId="215" priority="14" stopIfTrue="1" operator="equal">
      <formula>"No"</formula>
    </cfRule>
    <cfRule type="cellIs" dxfId="214" priority="15" stopIfTrue="1" operator="equal">
      <formula>"Yes"</formula>
    </cfRule>
    <cfRule type="cellIs" dxfId="213" priority="16" stopIfTrue="1" operator="equal">
      <formula>"WVR"</formula>
    </cfRule>
    <cfRule type="cellIs" dxfId="212" priority="17" stopIfTrue="1" operator="equal">
      <formula>"T-WVR"</formula>
    </cfRule>
    <cfRule type="cellIs" dxfId="211" priority="18" stopIfTrue="1" operator="equal">
      <formula>"R"</formula>
    </cfRule>
    <cfRule type="cellIs" dxfId="210" priority="19" stopIfTrue="1" operator="equal">
      <formula>"Y"</formula>
    </cfRule>
    <cfRule type="cellIs" dxfId="209" priority="20" stopIfTrue="1" operator="equal">
      <formula>"G"</formula>
    </cfRule>
  </conditionalFormatting>
  <conditionalFormatting sqref="E82">
    <cfRule type="cellIs" dxfId="208" priority="1" stopIfTrue="1" operator="equal">
      <formula>"N/A"</formula>
    </cfRule>
    <cfRule type="cellIs" dxfId="207" priority="2" stopIfTrue="1" operator="equal">
      <formula>"Yes-N/A"</formula>
    </cfRule>
    <cfRule type="cellIs" dxfId="206" priority="3" stopIfTrue="1" operator="equal">
      <formula>"P-WVR"</formula>
    </cfRule>
    <cfRule type="cellIs" dxfId="205" priority="4" stopIfTrue="1" operator="equal">
      <formula>"No"</formula>
    </cfRule>
    <cfRule type="cellIs" dxfId="204" priority="5" stopIfTrue="1" operator="equal">
      <formula>"Yes"</formula>
    </cfRule>
    <cfRule type="cellIs" dxfId="203" priority="6" stopIfTrue="1" operator="equal">
      <formula>"WVR"</formula>
    </cfRule>
    <cfRule type="cellIs" dxfId="202" priority="7" stopIfTrue="1" operator="equal">
      <formula>"T-WVR"</formula>
    </cfRule>
    <cfRule type="cellIs" dxfId="201" priority="8" stopIfTrue="1" operator="equal">
      <formula>"R"</formula>
    </cfRule>
    <cfRule type="cellIs" dxfId="200" priority="9" stopIfTrue="1" operator="equal">
      <formula>"Y"</formula>
    </cfRule>
    <cfRule type="cellIs" dxfId="199" priority="10" stopIfTrue="1" operator="equal">
      <formula>"G"</formula>
    </cfRule>
  </conditionalFormatting>
  <dataValidations count="4">
    <dataValidation type="list" allowBlank="1" showInputMessage="1" showErrorMessage="1" sqref="E20 E27 E34:E36 E23:E24 E17 E39:E40 E56:E57 E43 E7:E10 E30:E31 E13:E14 E46:E47 E50:E53 E60:E64 E67 E70 E73 E76 E79:E82">
      <formula1>ValidValues</formula1>
    </dataValidation>
    <dataValidation type="list" allowBlank="1" showInputMessage="1" showErrorMessage="1" sqref="E38 E19 E22 E26 E29 E16 E6 E42 E49 E45 E66 E55 E59 E12 E33 E69 E72 E75 E78">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82">
      <formula1>1</formula1>
      <formula2>10000</formula2>
    </dataValidation>
  </dataValidations>
  <pageMargins left="0.7" right="0.7" top="0.75" bottom="0.75" header="0.3" footer="0.3"/>
  <pageSetup scale="97" fitToHeight="100" orientation="landscape" r:id="rId1"/>
  <headerFooter>
    <oddHeader>&amp;L&amp;F&amp;C&amp;A&amp;R&amp;D</oddHeader>
    <oddFooter>&amp;C&amp;P of &amp;N</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autoPageBreaks="0" fitToPage="1"/>
  </sheetPr>
  <dimension ref="A1:AD19"/>
  <sheetViews>
    <sheetView zoomScaleNormal="100" workbookViewId="0">
      <selection activeCell="I24" sqref="I24"/>
    </sheetView>
  </sheetViews>
  <sheetFormatPr defaultRowHeight="12.5" x14ac:dyDescent="0.25"/>
  <cols>
    <col min="1" max="1" width="1.81640625" style="258" customWidth="1"/>
    <col min="2" max="2" width="5.7265625" style="258" customWidth="1"/>
    <col min="3" max="3" width="9.1796875" style="258" customWidth="1"/>
    <col min="4" max="4" width="54.453125" style="258" customWidth="1"/>
    <col min="5" max="5" width="8" style="258" customWidth="1"/>
    <col min="6" max="6" width="41.54296875" style="258" customWidth="1"/>
    <col min="7" max="7" width="9.453125" style="258" customWidth="1"/>
    <col min="8" max="8" width="2" style="258" bestFit="1" customWidth="1"/>
    <col min="9" max="12" width="3.81640625" style="258" customWidth="1"/>
    <col min="13" max="13" width="3.7265625" style="258" customWidth="1"/>
    <col min="14" max="30" width="3.81640625" style="258" customWidth="1"/>
    <col min="31" max="16384" width="8.7265625" style="258"/>
  </cols>
  <sheetData>
    <row r="1" spans="1:30" ht="18" x14ac:dyDescent="0.25">
      <c r="A1" s="635" t="s">
        <v>551</v>
      </c>
      <c r="B1" s="372" t="s">
        <v>143</v>
      </c>
      <c r="C1" s="636">
        <v>2</v>
      </c>
      <c r="D1" s="637" t="s">
        <v>72</v>
      </c>
      <c r="E1" s="638"/>
      <c r="F1" s="638"/>
      <c r="G1" s="639"/>
      <c r="H1" s="287" t="str">
        <f>HYPERLINK(CONCATENATE("http://garwiki.regn.net/mediawiki/index.php/",SUBSTITUTE(D1," ","_"),"_(principle)"),"?")</f>
        <v>?</v>
      </c>
      <c r="I1" s="134" t="s">
        <v>414</v>
      </c>
      <c r="J1" s="134" t="s">
        <v>415</v>
      </c>
      <c r="K1" s="134" t="s">
        <v>414</v>
      </c>
      <c r="L1" s="134" t="s">
        <v>415</v>
      </c>
      <c r="M1" s="134" t="s">
        <v>414</v>
      </c>
      <c r="N1" s="134" t="s">
        <v>415</v>
      </c>
      <c r="O1" s="134" t="s">
        <v>414</v>
      </c>
      <c r="P1" s="134" t="s">
        <v>415</v>
      </c>
      <c r="Q1" s="134" t="s">
        <v>414</v>
      </c>
      <c r="R1" s="134" t="s">
        <v>415</v>
      </c>
      <c r="S1" s="134" t="s">
        <v>414</v>
      </c>
      <c r="T1" s="134" t="s">
        <v>415</v>
      </c>
      <c r="U1" s="134" t="s">
        <v>414</v>
      </c>
      <c r="V1" s="134" t="s">
        <v>415</v>
      </c>
      <c r="W1" s="134" t="s">
        <v>414</v>
      </c>
      <c r="X1" s="134" t="s">
        <v>415</v>
      </c>
      <c r="Y1" s="134" t="s">
        <v>414</v>
      </c>
      <c r="Z1" s="134" t="s">
        <v>415</v>
      </c>
      <c r="AA1" s="134" t="s">
        <v>414</v>
      </c>
      <c r="AB1" s="134" t="s">
        <v>415</v>
      </c>
      <c r="AC1" s="134" t="s">
        <v>414</v>
      </c>
      <c r="AD1" s="134" t="s">
        <v>415</v>
      </c>
    </row>
    <row r="2" spans="1:30" ht="36" customHeight="1" thickBot="1" x14ac:dyDescent="0.3">
      <c r="A2" s="635"/>
      <c r="B2" s="640" t="s">
        <v>1204</v>
      </c>
      <c r="C2" s="641"/>
      <c r="D2" s="641"/>
      <c r="E2" s="179"/>
      <c r="F2" s="642" t="s">
        <v>31</v>
      </c>
      <c r="G2" s="643"/>
      <c r="H2" s="142"/>
      <c r="I2" s="579" t="s">
        <v>883</v>
      </c>
      <c r="J2" s="579"/>
      <c r="K2" s="579" t="s">
        <v>882</v>
      </c>
      <c r="L2" s="579"/>
      <c r="M2" s="579" t="s">
        <v>416</v>
      </c>
      <c r="N2" s="579"/>
      <c r="O2" s="579" t="s">
        <v>312</v>
      </c>
      <c r="P2" s="579"/>
      <c r="Q2" s="579" t="s">
        <v>313</v>
      </c>
      <c r="R2" s="579"/>
      <c r="S2" s="579" t="s">
        <v>311</v>
      </c>
      <c r="T2" s="579"/>
      <c r="U2" s="579" t="s">
        <v>314</v>
      </c>
      <c r="V2" s="579"/>
      <c r="W2" s="583" t="s">
        <v>565</v>
      </c>
      <c r="X2" s="584"/>
      <c r="Y2" s="583" t="s">
        <v>887</v>
      </c>
      <c r="Z2" s="584"/>
      <c r="AA2" s="583" t="s">
        <v>888</v>
      </c>
      <c r="AB2" s="584"/>
      <c r="AC2" s="583" t="s">
        <v>889</v>
      </c>
      <c r="AD2" s="584"/>
    </row>
    <row r="3" spans="1:30" ht="13" thickBot="1" x14ac:dyDescent="0.3">
      <c r="A3" s="635"/>
      <c r="E3" s="183"/>
      <c r="F3" s="644"/>
      <c r="G3" s="645"/>
      <c r="H3" s="142"/>
      <c r="I3" s="106"/>
      <c r="J3" s="106"/>
      <c r="K3" s="106"/>
      <c r="L3" s="106"/>
      <c r="M3" s="342"/>
      <c r="N3" s="342"/>
      <c r="O3" s="106"/>
      <c r="P3" s="106"/>
      <c r="Q3" s="106"/>
      <c r="R3" s="106"/>
      <c r="S3" s="106"/>
      <c r="T3" s="106"/>
      <c r="U3" s="106"/>
      <c r="V3" s="106"/>
      <c r="W3" s="106"/>
      <c r="X3" s="106"/>
      <c r="Y3" s="106"/>
      <c r="Z3" s="106"/>
      <c r="AA3" s="106"/>
      <c r="AB3" s="106"/>
      <c r="AC3" s="106"/>
      <c r="AD3" s="106"/>
    </row>
    <row r="4" spans="1:30" ht="26" x14ac:dyDescent="0.25">
      <c r="A4" s="635"/>
      <c r="B4" s="646" t="s">
        <v>50</v>
      </c>
      <c r="C4" s="647" t="s">
        <v>51</v>
      </c>
      <c r="D4" s="647" t="s">
        <v>35</v>
      </c>
      <c r="E4" s="275" t="s">
        <v>49</v>
      </c>
      <c r="F4" s="648" t="s">
        <v>58</v>
      </c>
      <c r="G4" s="269" t="s">
        <v>656</v>
      </c>
      <c r="H4" s="142"/>
      <c r="I4" s="105" t="s">
        <v>144</v>
      </c>
      <c r="J4" s="105" t="s">
        <v>144</v>
      </c>
      <c r="K4" s="105" t="s">
        <v>144</v>
      </c>
      <c r="L4" s="105" t="s">
        <v>144</v>
      </c>
      <c r="M4" s="105" t="s">
        <v>144</v>
      </c>
      <c r="N4" s="105" t="s">
        <v>144</v>
      </c>
      <c r="O4" s="105" t="s">
        <v>144</v>
      </c>
      <c r="P4" s="105" t="s">
        <v>144</v>
      </c>
      <c r="Q4" s="105" t="s">
        <v>144</v>
      </c>
      <c r="R4" s="105" t="s">
        <v>144</v>
      </c>
      <c r="S4" s="105" t="s">
        <v>144</v>
      </c>
      <c r="T4" s="105" t="s">
        <v>144</v>
      </c>
      <c r="U4" s="105" t="s">
        <v>144</v>
      </c>
      <c r="V4" s="105" t="s">
        <v>144</v>
      </c>
      <c r="W4" s="105" t="s">
        <v>144</v>
      </c>
      <c r="X4" s="105" t="s">
        <v>144</v>
      </c>
      <c r="Y4" s="105" t="s">
        <v>144</v>
      </c>
      <c r="Z4" s="105" t="s">
        <v>144</v>
      </c>
      <c r="AA4" s="105" t="s">
        <v>144</v>
      </c>
      <c r="AB4" s="105" t="s">
        <v>144</v>
      </c>
      <c r="AC4" s="105" t="s">
        <v>144</v>
      </c>
      <c r="AD4" s="105" t="s">
        <v>144</v>
      </c>
    </row>
    <row r="5" spans="1:30" ht="13" x14ac:dyDescent="0.25">
      <c r="A5" s="635" t="s">
        <v>481</v>
      </c>
      <c r="B5" s="649" t="s">
        <v>143</v>
      </c>
      <c r="C5" s="650" t="s">
        <v>1261</v>
      </c>
      <c r="D5" s="651" t="s">
        <v>1172</v>
      </c>
      <c r="E5" s="652"/>
      <c r="F5" s="652"/>
      <c r="G5" s="653"/>
      <c r="H5" s="287" t="str">
        <f>HYPERLINK(CONCATENATE("http://garwiki.regn.net/mediawiki/index.php/",SUBSTITUTE(D5," ","_"),"_(golden_rule)"),"?")</f>
        <v>?</v>
      </c>
      <c r="I5" s="130" t="str">
        <f>I6</f>
        <v/>
      </c>
      <c r="J5" s="130" t="str">
        <f t="shared" ref="J5:AD5" si="0">J6</f>
        <v>x</v>
      </c>
      <c r="K5" s="130" t="str">
        <f>K6</f>
        <v/>
      </c>
      <c r="L5" s="130" t="str">
        <f t="shared" si="0"/>
        <v>x</v>
      </c>
      <c r="M5" s="130" t="str">
        <f t="shared" si="0"/>
        <v/>
      </c>
      <c r="N5" s="130" t="str">
        <f t="shared" si="0"/>
        <v>x</v>
      </c>
      <c r="O5" s="130" t="str">
        <f t="shared" si="0"/>
        <v/>
      </c>
      <c r="P5" s="130" t="str">
        <f t="shared" si="0"/>
        <v>x</v>
      </c>
      <c r="Q5" s="130" t="str">
        <f t="shared" si="0"/>
        <v/>
      </c>
      <c r="R5" s="130" t="str">
        <f t="shared" si="0"/>
        <v>x</v>
      </c>
      <c r="S5" s="130" t="str">
        <f t="shared" si="0"/>
        <v/>
      </c>
      <c r="T5" s="130" t="str">
        <f t="shared" si="0"/>
        <v>x</v>
      </c>
      <c r="U5" s="130" t="str">
        <f t="shared" si="0"/>
        <v/>
      </c>
      <c r="V5" s="130" t="str">
        <f t="shared" si="0"/>
        <v>x</v>
      </c>
      <c r="W5" s="130" t="str">
        <f t="shared" si="0"/>
        <v/>
      </c>
      <c r="X5" s="130" t="str">
        <f t="shared" si="0"/>
        <v/>
      </c>
      <c r="Y5" s="130" t="str">
        <f t="shared" si="0"/>
        <v/>
      </c>
      <c r="Z5" s="130" t="str">
        <f t="shared" si="0"/>
        <v>x</v>
      </c>
      <c r="AA5" s="130" t="str">
        <f t="shared" si="0"/>
        <v/>
      </c>
      <c r="AB5" s="130" t="str">
        <f t="shared" si="0"/>
        <v>x</v>
      </c>
      <c r="AC5" s="130" t="str">
        <f t="shared" si="0"/>
        <v/>
      </c>
      <c r="AD5" s="130" t="str">
        <f t="shared" si="0"/>
        <v>x</v>
      </c>
    </row>
    <row r="6" spans="1:30" ht="13.5" customHeight="1" x14ac:dyDescent="0.25">
      <c r="A6" s="635"/>
      <c r="B6" s="654" t="s">
        <v>1172</v>
      </c>
      <c r="C6" s="655"/>
      <c r="D6" s="656"/>
      <c r="E6" s="179"/>
      <c r="F6" s="657" t="s">
        <v>31</v>
      </c>
      <c r="G6" s="658"/>
      <c r="H6" s="142"/>
      <c r="I6" s="105" t="str">
        <f t="shared" ref="I6:AD6" si="1">IF(COUNTIF(I7:I9,"x")=0,"","x")</f>
        <v/>
      </c>
      <c r="J6" s="105" t="str">
        <f t="shared" si="1"/>
        <v>x</v>
      </c>
      <c r="K6" s="105" t="str">
        <f t="shared" si="1"/>
        <v/>
      </c>
      <c r="L6" s="105" t="str">
        <f t="shared" si="1"/>
        <v>x</v>
      </c>
      <c r="M6" s="105" t="str">
        <f t="shared" si="1"/>
        <v/>
      </c>
      <c r="N6" s="105" t="str">
        <f t="shared" si="1"/>
        <v>x</v>
      </c>
      <c r="O6" s="105" t="str">
        <f t="shared" si="1"/>
        <v/>
      </c>
      <c r="P6" s="105" t="str">
        <f t="shared" si="1"/>
        <v>x</v>
      </c>
      <c r="Q6" s="105" t="str">
        <f t="shared" si="1"/>
        <v/>
      </c>
      <c r="R6" s="105" t="str">
        <f t="shared" si="1"/>
        <v>x</v>
      </c>
      <c r="S6" s="105" t="str">
        <f t="shared" si="1"/>
        <v/>
      </c>
      <c r="T6" s="105" t="str">
        <f t="shared" si="1"/>
        <v>x</v>
      </c>
      <c r="U6" s="105" t="str">
        <f t="shared" si="1"/>
        <v/>
      </c>
      <c r="V6" s="105" t="str">
        <f t="shared" si="1"/>
        <v>x</v>
      </c>
      <c r="W6" s="105" t="str">
        <f t="shared" si="1"/>
        <v/>
      </c>
      <c r="X6" s="105" t="str">
        <f t="shared" si="1"/>
        <v/>
      </c>
      <c r="Y6" s="105" t="str">
        <f t="shared" si="1"/>
        <v/>
      </c>
      <c r="Z6" s="105" t="str">
        <f t="shared" si="1"/>
        <v>x</v>
      </c>
      <c r="AA6" s="105" t="str">
        <f t="shared" si="1"/>
        <v/>
      </c>
      <c r="AB6" s="105" t="str">
        <f t="shared" si="1"/>
        <v>x</v>
      </c>
      <c r="AC6" s="105" t="str">
        <f t="shared" si="1"/>
        <v/>
      </c>
      <c r="AD6" s="105" t="str">
        <f t="shared" si="1"/>
        <v>x</v>
      </c>
    </row>
    <row r="7" spans="1:30" ht="37.5" x14ac:dyDescent="0.25">
      <c r="A7" s="635" t="s">
        <v>482</v>
      </c>
      <c r="B7" s="659" t="s">
        <v>52</v>
      </c>
      <c r="C7" s="373" t="s">
        <v>54</v>
      </c>
      <c r="D7" s="660" t="s">
        <v>969</v>
      </c>
      <c r="E7" s="144"/>
      <c r="F7" s="661"/>
      <c r="G7" s="662"/>
      <c r="H7" s="287" t="str">
        <f>HYPERLINK(CONCATENATE("http://garwiki.regn.net/mediawiki/index.php/Scorecard_Rule_",MID(A7,FIND(":",A7)+1,9)),"?")</f>
        <v>?</v>
      </c>
      <c r="I7" s="105"/>
      <c r="J7" s="106"/>
      <c r="K7" s="105"/>
      <c r="L7" s="106"/>
      <c r="M7" s="342"/>
      <c r="N7" s="106"/>
      <c r="O7" s="106"/>
      <c r="P7" s="105" t="s">
        <v>144</v>
      </c>
      <c r="Q7" s="106"/>
      <c r="R7" s="106"/>
      <c r="S7" s="106"/>
      <c r="T7" s="106"/>
      <c r="U7" s="106"/>
      <c r="V7" s="106"/>
      <c r="W7" s="106"/>
      <c r="X7" s="106"/>
      <c r="Y7" s="106"/>
      <c r="Z7" s="106"/>
      <c r="AA7" s="106"/>
      <c r="AB7" s="106"/>
      <c r="AC7" s="106"/>
      <c r="AD7" s="106"/>
    </row>
    <row r="8" spans="1:30" ht="62.5" x14ac:dyDescent="0.25">
      <c r="A8" s="635" t="s">
        <v>483</v>
      </c>
      <c r="B8" s="659" t="s">
        <v>52</v>
      </c>
      <c r="C8" s="373" t="s">
        <v>68</v>
      </c>
      <c r="D8" s="660" t="s">
        <v>1303</v>
      </c>
      <c r="E8" s="144"/>
      <c r="F8" s="661"/>
      <c r="G8" s="662"/>
      <c r="H8" s="287" t="str">
        <f>HYPERLINK(CONCATENATE("http://garwiki.regn.net/mediawiki/index.php/Scorecard_Rule_",MID(A8,FIND(":",A8)+1,9)),"?")</f>
        <v>?</v>
      </c>
      <c r="I8" s="105"/>
      <c r="J8" s="106" t="s">
        <v>144</v>
      </c>
      <c r="K8" s="105"/>
      <c r="L8" s="106" t="s">
        <v>144</v>
      </c>
      <c r="M8" s="342"/>
      <c r="N8" s="106" t="s">
        <v>144</v>
      </c>
      <c r="O8" s="106"/>
      <c r="P8" s="106" t="s">
        <v>144</v>
      </c>
      <c r="Q8" s="106"/>
      <c r="R8" s="105" t="s">
        <v>144</v>
      </c>
      <c r="S8" s="106"/>
      <c r="T8" s="106" t="s">
        <v>144</v>
      </c>
      <c r="U8" s="106"/>
      <c r="V8" s="106" t="s">
        <v>144</v>
      </c>
      <c r="W8" s="106"/>
      <c r="X8" s="106"/>
      <c r="Y8" s="106"/>
      <c r="Z8" s="106"/>
      <c r="AA8" s="106"/>
      <c r="AB8" s="106"/>
      <c r="AC8" s="106"/>
      <c r="AD8" s="106"/>
    </row>
    <row r="9" spans="1:30" ht="17" customHeight="1" x14ac:dyDescent="0.25">
      <c r="A9" s="635" t="s">
        <v>484</v>
      </c>
      <c r="B9" s="659" t="s">
        <v>52</v>
      </c>
      <c r="C9" s="373" t="s">
        <v>69</v>
      </c>
      <c r="D9" s="660" t="s">
        <v>1304</v>
      </c>
      <c r="E9" s="144"/>
      <c r="F9" s="661"/>
      <c r="G9" s="662"/>
      <c r="H9" s="287" t="str">
        <f t="shared" ref="H9" si="2">HYPERLINK(CONCATENATE("http://garwiki.regn.net/mediawiki/index.php/Scorecard_Rule_",MID(A9,FIND(":",A9)+1,9)),"?")</f>
        <v>?</v>
      </c>
      <c r="I9" s="105"/>
      <c r="J9" s="106"/>
      <c r="K9" s="105"/>
      <c r="L9" s="106"/>
      <c r="M9" s="342"/>
      <c r="N9" s="106"/>
      <c r="O9" s="106"/>
      <c r="P9" s="106"/>
      <c r="Q9" s="106"/>
      <c r="R9" s="106"/>
      <c r="S9" s="106"/>
      <c r="T9" s="106"/>
      <c r="U9" s="106"/>
      <c r="V9" s="106"/>
      <c r="W9" s="106"/>
      <c r="X9" s="106"/>
      <c r="Y9" s="106"/>
      <c r="Z9" s="106" t="s">
        <v>144</v>
      </c>
      <c r="AA9" s="106"/>
      <c r="AB9" s="106" t="s">
        <v>144</v>
      </c>
      <c r="AC9" s="106"/>
      <c r="AD9" s="106" t="s">
        <v>144</v>
      </c>
    </row>
    <row r="10" spans="1:30" ht="13" x14ac:dyDescent="0.25">
      <c r="A10" s="635" t="s">
        <v>485</v>
      </c>
      <c r="B10" s="649" t="s">
        <v>143</v>
      </c>
      <c r="C10" s="650" t="s">
        <v>1262</v>
      </c>
      <c r="D10" s="651" t="s">
        <v>1173</v>
      </c>
      <c r="E10" s="652"/>
      <c r="F10" s="652"/>
      <c r="G10" s="653"/>
      <c r="H10" s="287" t="str">
        <f>HYPERLINK(CONCATENATE("http://garwiki.regn.net/mediawiki/index.php/",SUBSTITUTE(D10," ","_"),"_(golden_rule)"),"?")</f>
        <v>?</v>
      </c>
      <c r="I10" s="130" t="str">
        <f>I11</f>
        <v/>
      </c>
      <c r="J10" s="130" t="str">
        <f t="shared" ref="J10:AD10" si="3">J11</f>
        <v>x</v>
      </c>
      <c r="K10" s="130" t="str">
        <f>K11</f>
        <v/>
      </c>
      <c r="L10" s="130" t="str">
        <f t="shared" si="3"/>
        <v>x</v>
      </c>
      <c r="M10" s="130" t="str">
        <f t="shared" si="3"/>
        <v/>
      </c>
      <c r="N10" s="130" t="str">
        <f t="shared" si="3"/>
        <v>x</v>
      </c>
      <c r="O10" s="130" t="str">
        <f t="shared" si="3"/>
        <v/>
      </c>
      <c r="P10" s="130" t="str">
        <f t="shared" si="3"/>
        <v>x</v>
      </c>
      <c r="Q10" s="130" t="str">
        <f t="shared" si="3"/>
        <v/>
      </c>
      <c r="R10" s="130" t="str">
        <f t="shared" si="3"/>
        <v>x</v>
      </c>
      <c r="S10" s="130" t="str">
        <f t="shared" si="3"/>
        <v/>
      </c>
      <c r="T10" s="130" t="str">
        <f t="shared" si="3"/>
        <v>x</v>
      </c>
      <c r="U10" s="130" t="str">
        <f t="shared" si="3"/>
        <v/>
      </c>
      <c r="V10" s="130" t="str">
        <f t="shared" si="3"/>
        <v>x</v>
      </c>
      <c r="W10" s="130" t="str">
        <f t="shared" si="3"/>
        <v/>
      </c>
      <c r="X10" s="130" t="str">
        <f t="shared" si="3"/>
        <v/>
      </c>
      <c r="Y10" s="130" t="str">
        <f t="shared" si="3"/>
        <v/>
      </c>
      <c r="Z10" s="130" t="str">
        <f t="shared" si="3"/>
        <v/>
      </c>
      <c r="AA10" s="130" t="str">
        <f t="shared" si="3"/>
        <v/>
      </c>
      <c r="AB10" s="130" t="str">
        <f t="shared" si="3"/>
        <v/>
      </c>
      <c r="AC10" s="130" t="str">
        <f t="shared" si="3"/>
        <v/>
      </c>
      <c r="AD10" s="130" t="str">
        <f t="shared" si="3"/>
        <v/>
      </c>
    </row>
    <row r="11" spans="1:30" ht="25.5" customHeight="1" x14ac:dyDescent="0.25">
      <c r="A11" s="635"/>
      <c r="B11" s="654" t="s">
        <v>1173</v>
      </c>
      <c r="C11" s="655"/>
      <c r="D11" s="656"/>
      <c r="E11" s="179"/>
      <c r="F11" s="657" t="s">
        <v>31</v>
      </c>
      <c r="G11" s="658"/>
      <c r="H11" s="287"/>
      <c r="I11" s="105" t="str">
        <f>IF(COUNTIF(I12:I13,"x")=0,"","x")</f>
        <v/>
      </c>
      <c r="J11" s="105" t="str">
        <f t="shared" ref="J11:AD11" si="4">IF(COUNTIF(J12:J13,"x")=0,"","x")</f>
        <v>x</v>
      </c>
      <c r="K11" s="105" t="str">
        <f>IF(COUNTIF(K12:K13,"x")=0,"","x")</f>
        <v/>
      </c>
      <c r="L11" s="105" t="str">
        <f t="shared" ref="L11" si="5">IF(COUNTIF(L12:L13,"x")=0,"","x")</f>
        <v>x</v>
      </c>
      <c r="M11" s="105" t="str">
        <f t="shared" si="4"/>
        <v/>
      </c>
      <c r="N11" s="105" t="str">
        <f t="shared" si="4"/>
        <v>x</v>
      </c>
      <c r="O11" s="105" t="str">
        <f t="shared" si="4"/>
        <v/>
      </c>
      <c r="P11" s="105" t="str">
        <f t="shared" si="4"/>
        <v>x</v>
      </c>
      <c r="Q11" s="105" t="str">
        <f t="shared" si="4"/>
        <v/>
      </c>
      <c r="R11" s="105" t="str">
        <f t="shared" si="4"/>
        <v>x</v>
      </c>
      <c r="S11" s="105" t="str">
        <f t="shared" si="4"/>
        <v/>
      </c>
      <c r="T11" s="105" t="str">
        <f t="shared" si="4"/>
        <v>x</v>
      </c>
      <c r="U11" s="105" t="str">
        <f t="shared" si="4"/>
        <v/>
      </c>
      <c r="V11" s="105" t="str">
        <f t="shared" si="4"/>
        <v>x</v>
      </c>
      <c r="W11" s="105" t="str">
        <f t="shared" si="4"/>
        <v/>
      </c>
      <c r="X11" s="105" t="str">
        <f t="shared" si="4"/>
        <v/>
      </c>
      <c r="Y11" s="105" t="str">
        <f t="shared" si="4"/>
        <v/>
      </c>
      <c r="Z11" s="105" t="str">
        <f t="shared" si="4"/>
        <v/>
      </c>
      <c r="AA11" s="105" t="str">
        <f t="shared" ref="AA11:AB11" si="6">IF(COUNTIF(AA12:AA13,"x")=0,"","x")</f>
        <v/>
      </c>
      <c r="AB11" s="105" t="str">
        <f t="shared" si="6"/>
        <v/>
      </c>
      <c r="AC11" s="105" t="str">
        <f t="shared" si="4"/>
        <v/>
      </c>
      <c r="AD11" s="105" t="str">
        <f t="shared" si="4"/>
        <v/>
      </c>
    </row>
    <row r="12" spans="1:30" ht="37.5" x14ac:dyDescent="0.25">
      <c r="A12" s="635" t="s">
        <v>486</v>
      </c>
      <c r="B12" s="659" t="s">
        <v>52</v>
      </c>
      <c r="C12" s="373" t="s">
        <v>196</v>
      </c>
      <c r="D12" s="660" t="s">
        <v>970</v>
      </c>
      <c r="E12" s="144"/>
      <c r="F12" s="661"/>
      <c r="G12" s="662"/>
      <c r="H12" s="287" t="str">
        <f>HYPERLINK(CONCATENATE("http://garwiki.regn.net/mediawiki/index.php/Scorecard_Rule_",MID(A12,FIND(":",A12)+1,9)),"?")</f>
        <v>?</v>
      </c>
      <c r="I12" s="105"/>
      <c r="J12" s="106"/>
      <c r="K12" s="105"/>
      <c r="L12" s="106"/>
      <c r="M12" s="342"/>
      <c r="N12" s="106"/>
      <c r="O12" s="106"/>
      <c r="P12" s="106" t="s">
        <v>144</v>
      </c>
      <c r="Q12" s="106"/>
      <c r="R12" s="106" t="s">
        <v>144</v>
      </c>
      <c r="S12" s="106"/>
      <c r="T12" s="106" t="s">
        <v>144</v>
      </c>
      <c r="U12" s="106"/>
      <c r="V12" s="106"/>
      <c r="W12" s="106"/>
      <c r="X12" s="106"/>
      <c r="Y12" s="106"/>
      <c r="Z12" s="106"/>
      <c r="AA12" s="106"/>
      <c r="AB12" s="106"/>
      <c r="AC12" s="106"/>
      <c r="AD12" s="106"/>
    </row>
    <row r="13" spans="1:30" ht="25" x14ac:dyDescent="0.25">
      <c r="A13" s="635" t="s">
        <v>487</v>
      </c>
      <c r="B13" s="659" t="s">
        <v>52</v>
      </c>
      <c r="C13" s="373" t="s">
        <v>197</v>
      </c>
      <c r="D13" s="660" t="s">
        <v>971</v>
      </c>
      <c r="E13" s="144"/>
      <c r="F13" s="661"/>
      <c r="G13" s="662"/>
      <c r="H13" s="287" t="str">
        <f>HYPERLINK(CONCATENATE("http://garwiki.regn.net/mediawiki/index.php/Scorecard_Rule_",MID(A13,FIND(":",A13)+1,9)),"?")</f>
        <v>?</v>
      </c>
      <c r="I13" s="105"/>
      <c r="J13" s="106" t="s">
        <v>144</v>
      </c>
      <c r="K13" s="105"/>
      <c r="L13" s="106" t="s">
        <v>144</v>
      </c>
      <c r="M13" s="342"/>
      <c r="N13" s="106" t="s">
        <v>144</v>
      </c>
      <c r="O13" s="106"/>
      <c r="P13" s="106" t="s">
        <v>144</v>
      </c>
      <c r="Q13" s="106"/>
      <c r="R13" s="106" t="s">
        <v>144</v>
      </c>
      <c r="S13" s="106"/>
      <c r="T13" s="106" t="s">
        <v>144</v>
      </c>
      <c r="U13" s="106"/>
      <c r="V13" s="106" t="s">
        <v>144</v>
      </c>
      <c r="W13" s="106"/>
      <c r="X13" s="106"/>
      <c r="Y13" s="106"/>
      <c r="Z13" s="106"/>
      <c r="AA13" s="106"/>
      <c r="AB13" s="106"/>
      <c r="AC13" s="106"/>
      <c r="AD13" s="106"/>
    </row>
    <row r="14" spans="1:30" ht="13" x14ac:dyDescent="0.25">
      <c r="A14" s="635" t="s">
        <v>552</v>
      </c>
      <c r="B14" s="663" t="s">
        <v>143</v>
      </c>
      <c r="C14" s="664" t="s">
        <v>1263</v>
      </c>
      <c r="D14" s="665" t="s">
        <v>1174</v>
      </c>
      <c r="E14" s="666"/>
      <c r="F14" s="666"/>
      <c r="G14" s="667"/>
      <c r="H14" s="287" t="str">
        <f>HYPERLINK(CONCATENATE("http://garwiki.regn.net/mediawiki/index.php/",SUBSTITUTE(D14," ","_"),"_(golden_rule)"),"?")</f>
        <v>?</v>
      </c>
      <c r="I14" s="130" t="str">
        <f>I15</f>
        <v/>
      </c>
      <c r="J14" s="130" t="str">
        <f t="shared" ref="J14:AD14" si="7">J15</f>
        <v>x</v>
      </c>
      <c r="K14" s="130" t="str">
        <f>K15</f>
        <v/>
      </c>
      <c r="L14" s="130" t="str">
        <f t="shared" si="7"/>
        <v>x</v>
      </c>
      <c r="M14" s="130" t="str">
        <f t="shared" si="7"/>
        <v/>
      </c>
      <c r="N14" s="130" t="str">
        <f t="shared" si="7"/>
        <v>x</v>
      </c>
      <c r="O14" s="130" t="str">
        <f t="shared" si="7"/>
        <v/>
      </c>
      <c r="P14" s="130" t="str">
        <f t="shared" si="7"/>
        <v>x</v>
      </c>
      <c r="Q14" s="130" t="str">
        <f t="shared" si="7"/>
        <v/>
      </c>
      <c r="R14" s="130" t="str">
        <f t="shared" si="7"/>
        <v>x</v>
      </c>
      <c r="S14" s="130" t="str">
        <f t="shared" si="7"/>
        <v/>
      </c>
      <c r="T14" s="130" t="str">
        <f t="shared" si="7"/>
        <v>x</v>
      </c>
      <c r="U14" s="130" t="str">
        <f t="shared" si="7"/>
        <v/>
      </c>
      <c r="V14" s="130" t="str">
        <f t="shared" si="7"/>
        <v>x</v>
      </c>
      <c r="W14" s="130" t="str">
        <f t="shared" si="7"/>
        <v/>
      </c>
      <c r="X14" s="130" t="str">
        <f t="shared" si="7"/>
        <v/>
      </c>
      <c r="Y14" s="130" t="str">
        <f t="shared" si="7"/>
        <v/>
      </c>
      <c r="Z14" s="130" t="str">
        <f t="shared" si="7"/>
        <v/>
      </c>
      <c r="AA14" s="130" t="str">
        <f t="shared" si="7"/>
        <v/>
      </c>
      <c r="AB14" s="130" t="str">
        <f t="shared" si="7"/>
        <v/>
      </c>
      <c r="AC14" s="130" t="str">
        <f t="shared" si="7"/>
        <v/>
      </c>
      <c r="AD14" s="130" t="str">
        <f t="shared" si="7"/>
        <v/>
      </c>
    </row>
    <row r="15" spans="1:30" x14ac:dyDescent="0.25">
      <c r="A15" s="635"/>
      <c r="B15" s="654" t="s">
        <v>1174</v>
      </c>
      <c r="C15" s="655"/>
      <c r="D15" s="656"/>
      <c r="E15" s="179"/>
      <c r="F15" s="657" t="s">
        <v>31</v>
      </c>
      <c r="G15" s="658"/>
      <c r="H15" s="287"/>
      <c r="I15" s="105" t="str">
        <f>IF(COUNTIF(I16:I16,"x")=0,"","x")</f>
        <v/>
      </c>
      <c r="J15" s="105" t="str">
        <f t="shared" ref="J15:AD15" si="8">IF(COUNTIF(J16:J16,"x")=0,"","x")</f>
        <v>x</v>
      </c>
      <c r="K15" s="105" t="str">
        <f t="shared" si="8"/>
        <v/>
      </c>
      <c r="L15" s="105" t="str">
        <f t="shared" si="8"/>
        <v>x</v>
      </c>
      <c r="M15" s="105" t="str">
        <f t="shared" si="8"/>
        <v/>
      </c>
      <c r="N15" s="105" t="str">
        <f t="shared" si="8"/>
        <v>x</v>
      </c>
      <c r="O15" s="105" t="str">
        <f t="shared" si="8"/>
        <v/>
      </c>
      <c r="P15" s="105" t="str">
        <f t="shared" si="8"/>
        <v>x</v>
      </c>
      <c r="Q15" s="105" t="str">
        <f t="shared" si="8"/>
        <v/>
      </c>
      <c r="R15" s="105" t="str">
        <f t="shared" si="8"/>
        <v>x</v>
      </c>
      <c r="S15" s="105" t="str">
        <f t="shared" si="8"/>
        <v/>
      </c>
      <c r="T15" s="105" t="str">
        <f t="shared" si="8"/>
        <v>x</v>
      </c>
      <c r="U15" s="105" t="str">
        <f t="shared" si="8"/>
        <v/>
      </c>
      <c r="V15" s="105" t="str">
        <f t="shared" si="8"/>
        <v>x</v>
      </c>
      <c r="W15" s="105" t="str">
        <f t="shared" si="8"/>
        <v/>
      </c>
      <c r="X15" s="105" t="str">
        <f t="shared" si="8"/>
        <v/>
      </c>
      <c r="Y15" s="105" t="str">
        <f t="shared" si="8"/>
        <v/>
      </c>
      <c r="Z15" s="105" t="str">
        <f t="shared" si="8"/>
        <v/>
      </c>
      <c r="AA15" s="105" t="str">
        <f t="shared" si="8"/>
        <v/>
      </c>
      <c r="AB15" s="105" t="str">
        <f t="shared" si="8"/>
        <v/>
      </c>
      <c r="AC15" s="105" t="str">
        <f t="shared" si="8"/>
        <v/>
      </c>
      <c r="AD15" s="105" t="str">
        <f t="shared" si="8"/>
        <v/>
      </c>
    </row>
    <row r="16" spans="1:30" ht="50" x14ac:dyDescent="0.25">
      <c r="A16" s="635" t="s">
        <v>488</v>
      </c>
      <c r="B16" s="668" t="s">
        <v>52</v>
      </c>
      <c r="C16" s="373" t="s">
        <v>202</v>
      </c>
      <c r="D16" s="660" t="s">
        <v>751</v>
      </c>
      <c r="E16" s="144"/>
      <c r="F16" s="661"/>
      <c r="G16" s="669"/>
      <c r="H16" s="287" t="str">
        <f t="shared" ref="H16" si="9">HYPERLINK(CONCATENATE("http://garwiki.regn.net/mediawiki/index.php/Scorecard_Rule_",MID(A16,FIND(":",A16)+1,9)),"?")</f>
        <v>?</v>
      </c>
      <c r="I16" s="105"/>
      <c r="J16" s="106" t="s">
        <v>144</v>
      </c>
      <c r="K16" s="105"/>
      <c r="L16" s="106" t="s">
        <v>144</v>
      </c>
      <c r="M16" s="342"/>
      <c r="N16" s="106" t="s">
        <v>144</v>
      </c>
      <c r="O16" s="106"/>
      <c r="P16" s="106" t="s">
        <v>144</v>
      </c>
      <c r="Q16" s="106"/>
      <c r="R16" s="106" t="s">
        <v>144</v>
      </c>
      <c r="S16" s="106"/>
      <c r="T16" s="106" t="s">
        <v>144</v>
      </c>
      <c r="U16" s="106"/>
      <c r="V16" s="106" t="s">
        <v>144</v>
      </c>
      <c r="W16" s="106"/>
      <c r="X16" s="106"/>
      <c r="Y16" s="106"/>
      <c r="Z16" s="106"/>
      <c r="AA16" s="106"/>
      <c r="AB16" s="106"/>
      <c r="AC16" s="106"/>
      <c r="AD16" s="106"/>
    </row>
    <row r="17" spans="1:30" ht="13" x14ac:dyDescent="0.25">
      <c r="A17" s="635" t="s">
        <v>544</v>
      </c>
      <c r="B17" s="670" t="s">
        <v>143</v>
      </c>
      <c r="C17" s="664" t="s">
        <v>1024</v>
      </c>
      <c r="D17" s="665" t="s">
        <v>1175</v>
      </c>
      <c r="E17" s="666"/>
      <c r="F17" s="666"/>
      <c r="G17" s="667"/>
      <c r="H17" s="287" t="str">
        <f>HYPERLINK(CONCATENATE("http://garwiki.regn.net/mediawiki/index.php/",SUBSTITUTE(D17," ","_"),"_(golden_rule)"),"?")</f>
        <v>?</v>
      </c>
      <c r="I17" s="130" t="str">
        <f>I18</f>
        <v/>
      </c>
      <c r="J17" s="130" t="str">
        <f t="shared" ref="J17:AD17" si="10">J18</f>
        <v/>
      </c>
      <c r="K17" s="130" t="str">
        <f>K18</f>
        <v/>
      </c>
      <c r="L17" s="130" t="str">
        <f t="shared" si="10"/>
        <v>x</v>
      </c>
      <c r="M17" s="130" t="str">
        <f t="shared" si="10"/>
        <v/>
      </c>
      <c r="N17" s="130" t="str">
        <f t="shared" si="10"/>
        <v>x</v>
      </c>
      <c r="O17" s="130" t="str">
        <f t="shared" si="10"/>
        <v/>
      </c>
      <c r="P17" s="130" t="str">
        <f t="shared" si="10"/>
        <v/>
      </c>
      <c r="Q17" s="130" t="str">
        <f t="shared" si="10"/>
        <v/>
      </c>
      <c r="R17" s="130" t="str">
        <f t="shared" si="10"/>
        <v/>
      </c>
      <c r="S17" s="130" t="str">
        <f t="shared" si="10"/>
        <v/>
      </c>
      <c r="T17" s="130" t="str">
        <f t="shared" si="10"/>
        <v/>
      </c>
      <c r="U17" s="130" t="str">
        <f t="shared" si="10"/>
        <v/>
      </c>
      <c r="V17" s="130" t="str">
        <f t="shared" si="10"/>
        <v/>
      </c>
      <c r="W17" s="130" t="str">
        <f t="shared" si="10"/>
        <v/>
      </c>
      <c r="X17" s="130" t="str">
        <f t="shared" si="10"/>
        <v/>
      </c>
      <c r="Y17" s="130" t="str">
        <f t="shared" si="10"/>
        <v/>
      </c>
      <c r="Z17" s="130" t="str">
        <f t="shared" si="10"/>
        <v/>
      </c>
      <c r="AA17" s="130" t="str">
        <f t="shared" si="10"/>
        <v/>
      </c>
      <c r="AB17" s="130" t="str">
        <f t="shared" si="10"/>
        <v/>
      </c>
      <c r="AC17" s="130" t="str">
        <f t="shared" si="10"/>
        <v/>
      </c>
      <c r="AD17" s="130" t="str">
        <f t="shared" si="10"/>
        <v/>
      </c>
    </row>
    <row r="18" spans="1:30" ht="25.5" customHeight="1" x14ac:dyDescent="0.25">
      <c r="A18" s="635"/>
      <c r="B18" s="671" t="s">
        <v>1175</v>
      </c>
      <c r="C18" s="672"/>
      <c r="D18" s="673"/>
      <c r="E18" s="179"/>
      <c r="F18" s="657" t="s">
        <v>31</v>
      </c>
      <c r="G18" s="658"/>
      <c r="H18" s="287"/>
      <c r="I18" s="105" t="str">
        <f t="shared" ref="I18:AD18" si="11">IF(COUNTIF(I19:I19,"x")=0,"","x")</f>
        <v/>
      </c>
      <c r="J18" s="105" t="str">
        <f t="shared" si="11"/>
        <v/>
      </c>
      <c r="K18" s="105" t="str">
        <f t="shared" si="11"/>
        <v/>
      </c>
      <c r="L18" s="105" t="str">
        <f t="shared" si="11"/>
        <v>x</v>
      </c>
      <c r="M18" s="105" t="str">
        <f t="shared" si="11"/>
        <v/>
      </c>
      <c r="N18" s="105" t="str">
        <f t="shared" si="11"/>
        <v>x</v>
      </c>
      <c r="O18" s="105" t="str">
        <f t="shared" si="11"/>
        <v/>
      </c>
      <c r="P18" s="105" t="str">
        <f t="shared" si="11"/>
        <v/>
      </c>
      <c r="Q18" s="105" t="str">
        <f t="shared" si="11"/>
        <v/>
      </c>
      <c r="R18" s="105" t="str">
        <f t="shared" si="11"/>
        <v/>
      </c>
      <c r="S18" s="105" t="str">
        <f t="shared" si="11"/>
        <v/>
      </c>
      <c r="T18" s="105" t="str">
        <f t="shared" si="11"/>
        <v/>
      </c>
      <c r="U18" s="105" t="str">
        <f t="shared" si="11"/>
        <v/>
      </c>
      <c r="V18" s="105" t="str">
        <f t="shared" si="11"/>
        <v/>
      </c>
      <c r="W18" s="105" t="str">
        <f t="shared" si="11"/>
        <v/>
      </c>
      <c r="X18" s="105" t="str">
        <f t="shared" si="11"/>
        <v/>
      </c>
      <c r="Y18" s="105" t="str">
        <f t="shared" si="11"/>
        <v/>
      </c>
      <c r="Z18" s="105" t="str">
        <f t="shared" si="11"/>
        <v/>
      </c>
      <c r="AA18" s="105" t="str">
        <f t="shared" si="11"/>
        <v/>
      </c>
      <c r="AB18" s="105" t="str">
        <f t="shared" si="11"/>
        <v/>
      </c>
      <c r="AC18" s="105" t="str">
        <f t="shared" si="11"/>
        <v/>
      </c>
      <c r="AD18" s="105" t="str">
        <f t="shared" si="11"/>
        <v/>
      </c>
    </row>
    <row r="19" spans="1:30" ht="37.5" x14ac:dyDescent="0.25">
      <c r="A19" s="635" t="s">
        <v>545</v>
      </c>
      <c r="B19" s="668" t="s">
        <v>52</v>
      </c>
      <c r="C19" s="373" t="s">
        <v>203</v>
      </c>
      <c r="D19" s="674" t="s">
        <v>1070</v>
      </c>
      <c r="E19" s="144"/>
      <c r="F19" s="675"/>
      <c r="G19" s="676"/>
      <c r="H19" s="287" t="str">
        <f t="shared" ref="H19" si="12">HYPERLINK(CONCATENATE("http://garwiki.regn.net/mediawiki/index.php/Scorecard_Rule_",MID(A19,FIND(":",A19)+1,9)),"?")</f>
        <v>?</v>
      </c>
      <c r="I19" s="105"/>
      <c r="J19" s="105"/>
      <c r="K19" s="105"/>
      <c r="L19" s="105" t="s">
        <v>144</v>
      </c>
      <c r="M19" s="342"/>
      <c r="N19" s="105" t="s">
        <v>144</v>
      </c>
      <c r="O19" s="106"/>
      <c r="P19" s="106"/>
      <c r="Q19" s="106"/>
      <c r="R19" s="106"/>
      <c r="S19" s="106"/>
      <c r="T19" s="106"/>
      <c r="U19" s="106"/>
      <c r="V19" s="106"/>
      <c r="W19" s="106"/>
      <c r="X19" s="106"/>
      <c r="Y19" s="106"/>
      <c r="Z19" s="106"/>
      <c r="AA19" s="106"/>
      <c r="AB19" s="106"/>
      <c r="AC19" s="106"/>
      <c r="AD19" s="106"/>
    </row>
  </sheetData>
  <sheetProtection formatColumns="0" formatRows="0"/>
  <mergeCells count="21">
    <mergeCell ref="AC2:AD2"/>
    <mergeCell ref="U2:V2"/>
    <mergeCell ref="M2:N2"/>
    <mergeCell ref="I2:J2"/>
    <mergeCell ref="O2:P2"/>
    <mergeCell ref="Q2:R2"/>
    <mergeCell ref="S2:T2"/>
    <mergeCell ref="AA2:AB2"/>
    <mergeCell ref="Y2:Z2"/>
    <mergeCell ref="B18:D18"/>
    <mergeCell ref="D17:G17"/>
    <mergeCell ref="D1:G1"/>
    <mergeCell ref="W2:X2"/>
    <mergeCell ref="B15:D15"/>
    <mergeCell ref="B6:D6"/>
    <mergeCell ref="B2:D2"/>
    <mergeCell ref="B11:D11"/>
    <mergeCell ref="D5:G5"/>
    <mergeCell ref="D10:G10"/>
    <mergeCell ref="D14:G14"/>
    <mergeCell ref="K2:L2"/>
  </mergeCells>
  <phoneticPr fontId="2" type="noConversion"/>
  <conditionalFormatting sqref="E2:E19">
    <cfRule type="cellIs" dxfId="198" priority="1" stopIfTrue="1" operator="equal">
      <formula>"N/A"</formula>
    </cfRule>
    <cfRule type="cellIs" dxfId="197" priority="2" stopIfTrue="1" operator="equal">
      <formula>"Yes-N/A"</formula>
    </cfRule>
    <cfRule type="cellIs" dxfId="196" priority="3" stopIfTrue="1" operator="equal">
      <formula>"P-WVR"</formula>
    </cfRule>
    <cfRule type="cellIs" dxfId="195" priority="4" stopIfTrue="1" operator="equal">
      <formula>"No"</formula>
    </cfRule>
    <cfRule type="cellIs" dxfId="194" priority="5" stopIfTrue="1" operator="equal">
      <formula>"Yes"</formula>
    </cfRule>
    <cfRule type="cellIs" dxfId="193" priority="6" stopIfTrue="1" operator="equal">
      <formula>"WVR"</formula>
    </cfRule>
    <cfRule type="cellIs" dxfId="192" priority="7" stopIfTrue="1" operator="equal">
      <formula>"T-WVR"</formula>
    </cfRule>
    <cfRule type="cellIs" dxfId="191" priority="8" stopIfTrue="1" operator="equal">
      <formula>"R"</formula>
    </cfRule>
    <cfRule type="cellIs" dxfId="190" priority="9" stopIfTrue="1" operator="equal">
      <formula>"Y"</formula>
    </cfRule>
    <cfRule type="cellIs" dxfId="189" priority="10" stopIfTrue="1" operator="equal">
      <formula>"G"</formula>
    </cfRule>
  </conditionalFormatting>
  <dataValidations count="4">
    <dataValidation type="list" allowBlank="1" showInputMessage="1" showErrorMessage="1" sqref="E16 E12:E13 E19 E7:E9">
      <formula1>ValidValues</formula1>
    </dataValidation>
    <dataValidation type="list" allowBlank="1" showInputMessage="1" showErrorMessage="1" sqref="E6 E11 E15 E18">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19">
      <formula1>1</formula1>
      <formula2>10000</formula2>
    </dataValidation>
  </dataValidations>
  <pageMargins left="0.7" right="0.7" top="0.75" bottom="0.75" header="0.3" footer="0.3"/>
  <pageSetup scale="97" fitToHeight="100" orientation="landscape" r:id="rId1"/>
  <headerFooter>
    <oddHeader>&amp;L&amp;F&amp;C&amp;A&amp;R&amp;D</oddHeader>
    <oddFooter>&amp;C&amp;P of &amp;N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autoPageBreaks="0" fitToPage="1"/>
  </sheetPr>
  <dimension ref="A1:AD13"/>
  <sheetViews>
    <sheetView zoomScaleNormal="100" workbookViewId="0">
      <pane ySplit="4" topLeftCell="A5" activePane="bottomLeft" state="frozenSplit"/>
      <selection pane="bottomLeft" activeCell="E7" sqref="E7"/>
    </sheetView>
  </sheetViews>
  <sheetFormatPr defaultRowHeight="12.5" x14ac:dyDescent="0.25"/>
  <cols>
    <col min="1" max="1" width="1.81640625" customWidth="1"/>
    <col min="2" max="2" width="5.7265625" customWidth="1"/>
    <col min="3" max="3" width="9.1796875" customWidth="1"/>
    <col min="4" max="4" width="54.453125" customWidth="1"/>
    <col min="5" max="5" width="8" customWidth="1"/>
    <col min="6" max="6" width="41.54296875" customWidth="1"/>
    <col min="7" max="7" width="9.453125" customWidth="1"/>
    <col min="8" max="8" width="2" bestFit="1" customWidth="1"/>
    <col min="9" max="12" width="3.81640625" customWidth="1"/>
    <col min="13" max="13" width="3.7265625" customWidth="1"/>
    <col min="14" max="30" width="3.81640625" customWidth="1"/>
  </cols>
  <sheetData>
    <row r="1" spans="1:30" ht="18" x14ac:dyDescent="0.25">
      <c r="A1" s="212" t="s">
        <v>557</v>
      </c>
      <c r="B1" s="372" t="s">
        <v>143</v>
      </c>
      <c r="C1" s="371">
        <v>3</v>
      </c>
      <c r="D1" s="580" t="s">
        <v>93</v>
      </c>
      <c r="E1" s="581"/>
      <c r="F1" s="581"/>
      <c r="G1" s="582"/>
      <c r="H1" s="287" t="str">
        <f>HYPERLINK(CONCATENATE("http://garwiki.regn.net/mediawiki/index.php/",SUBSTITUTE(D1," ","_"),"_(principle)"),"?")</f>
        <v>?</v>
      </c>
      <c r="I1" s="134" t="s">
        <v>414</v>
      </c>
      <c r="J1" s="134" t="s">
        <v>415</v>
      </c>
      <c r="K1" s="134" t="s">
        <v>414</v>
      </c>
      <c r="L1" s="134" t="s">
        <v>415</v>
      </c>
      <c r="M1" s="134" t="s">
        <v>414</v>
      </c>
      <c r="N1" s="134" t="s">
        <v>415</v>
      </c>
      <c r="O1" s="134" t="s">
        <v>414</v>
      </c>
      <c r="P1" s="134" t="s">
        <v>415</v>
      </c>
      <c r="Q1" s="134" t="s">
        <v>414</v>
      </c>
      <c r="R1" s="134" t="s">
        <v>415</v>
      </c>
      <c r="S1" s="134" t="s">
        <v>414</v>
      </c>
      <c r="T1" s="134" t="s">
        <v>415</v>
      </c>
      <c r="U1" s="134" t="s">
        <v>414</v>
      </c>
      <c r="V1" s="134" t="s">
        <v>415</v>
      </c>
      <c r="W1" s="134" t="s">
        <v>414</v>
      </c>
      <c r="X1" s="134" t="s">
        <v>415</v>
      </c>
      <c r="Y1" s="134" t="s">
        <v>414</v>
      </c>
      <c r="Z1" s="134" t="s">
        <v>415</v>
      </c>
      <c r="AA1" s="134" t="s">
        <v>414</v>
      </c>
      <c r="AB1" s="134" t="s">
        <v>415</v>
      </c>
      <c r="AC1" s="134" t="s">
        <v>414</v>
      </c>
      <c r="AD1" s="134" t="s">
        <v>415</v>
      </c>
    </row>
    <row r="2" spans="1:30" ht="36" customHeight="1" x14ac:dyDescent="0.25">
      <c r="A2" s="212"/>
      <c r="B2" s="588" t="s">
        <v>1205</v>
      </c>
      <c r="C2" s="589"/>
      <c r="D2" s="590"/>
      <c r="E2" s="179"/>
      <c r="F2" s="303" t="s">
        <v>31</v>
      </c>
      <c r="G2" s="270"/>
      <c r="H2" s="142"/>
      <c r="I2" s="579" t="s">
        <v>883</v>
      </c>
      <c r="J2" s="579"/>
      <c r="K2" s="579" t="s">
        <v>882</v>
      </c>
      <c r="L2" s="579"/>
      <c r="M2" s="579" t="s">
        <v>416</v>
      </c>
      <c r="N2" s="579"/>
      <c r="O2" s="579" t="s">
        <v>312</v>
      </c>
      <c r="P2" s="579"/>
      <c r="Q2" s="579" t="s">
        <v>313</v>
      </c>
      <c r="R2" s="579"/>
      <c r="S2" s="579" t="s">
        <v>311</v>
      </c>
      <c r="T2" s="579"/>
      <c r="U2" s="579" t="s">
        <v>314</v>
      </c>
      <c r="V2" s="579"/>
      <c r="W2" s="583" t="s">
        <v>565</v>
      </c>
      <c r="X2" s="584"/>
      <c r="Y2" s="583" t="s">
        <v>887</v>
      </c>
      <c r="Z2" s="584"/>
      <c r="AA2" s="583" t="s">
        <v>888</v>
      </c>
      <c r="AB2" s="584"/>
      <c r="AC2" s="583" t="s">
        <v>889</v>
      </c>
      <c r="AD2" s="584"/>
    </row>
    <row r="3" spans="1:30" x14ac:dyDescent="0.25">
      <c r="A3" s="212"/>
      <c r="C3" s="3"/>
      <c r="E3" s="75"/>
      <c r="F3" s="87"/>
      <c r="H3" s="142"/>
      <c r="I3" s="106"/>
      <c r="J3" s="106"/>
      <c r="K3" s="106"/>
      <c r="L3" s="106"/>
      <c r="M3" s="62"/>
      <c r="N3" s="62"/>
      <c r="O3" s="106"/>
      <c r="P3" s="106"/>
      <c r="Q3" s="106"/>
      <c r="R3" s="106"/>
      <c r="S3" s="106"/>
      <c r="T3" s="106"/>
      <c r="U3" s="106"/>
      <c r="V3" s="106"/>
      <c r="W3" s="106"/>
      <c r="X3" s="106"/>
      <c r="Y3" s="106"/>
      <c r="Z3" s="106"/>
      <c r="AA3" s="106"/>
      <c r="AB3" s="106"/>
      <c r="AC3" s="106"/>
      <c r="AD3" s="106"/>
    </row>
    <row r="4" spans="1:30" ht="26" x14ac:dyDescent="0.25">
      <c r="A4" s="212"/>
      <c r="B4" s="25" t="s">
        <v>50</v>
      </c>
      <c r="C4" s="26" t="s">
        <v>51</v>
      </c>
      <c r="D4" s="26" t="s">
        <v>35</v>
      </c>
      <c r="E4" s="275" t="s">
        <v>24</v>
      </c>
      <c r="F4" s="276" t="s">
        <v>36</v>
      </c>
      <c r="G4" s="277" t="s">
        <v>656</v>
      </c>
      <c r="H4" s="142"/>
      <c r="I4" s="111" t="s">
        <v>144</v>
      </c>
      <c r="J4" s="111" t="s">
        <v>144</v>
      </c>
      <c r="K4" s="111" t="s">
        <v>144</v>
      </c>
      <c r="L4" s="111" t="s">
        <v>144</v>
      </c>
      <c r="M4" s="111" t="s">
        <v>144</v>
      </c>
      <c r="N4" s="111" t="s">
        <v>144</v>
      </c>
      <c r="O4" s="111" t="s">
        <v>144</v>
      </c>
      <c r="P4" s="111" t="s">
        <v>144</v>
      </c>
      <c r="Q4" s="111" t="s">
        <v>144</v>
      </c>
      <c r="R4" s="111" t="s">
        <v>144</v>
      </c>
      <c r="S4" s="111" t="s">
        <v>144</v>
      </c>
      <c r="T4" s="111" t="s">
        <v>144</v>
      </c>
      <c r="U4" s="111" t="s">
        <v>144</v>
      </c>
      <c r="V4" s="111" t="s">
        <v>144</v>
      </c>
      <c r="W4" s="111" t="s">
        <v>144</v>
      </c>
      <c r="X4" s="111" t="s">
        <v>144</v>
      </c>
      <c r="Y4" s="111" t="s">
        <v>144</v>
      </c>
      <c r="Z4" s="111" t="s">
        <v>144</v>
      </c>
      <c r="AA4" s="111" t="s">
        <v>144</v>
      </c>
      <c r="AB4" s="111" t="s">
        <v>144</v>
      </c>
      <c r="AC4" s="111" t="s">
        <v>144</v>
      </c>
      <c r="AD4" s="111" t="s">
        <v>144</v>
      </c>
    </row>
    <row r="5" spans="1:30" ht="13" x14ac:dyDescent="0.25">
      <c r="A5" s="212" t="s">
        <v>523</v>
      </c>
      <c r="B5" s="132" t="s">
        <v>143</v>
      </c>
      <c r="C5" s="131" t="s">
        <v>612</v>
      </c>
      <c r="D5" s="574" t="s">
        <v>1195</v>
      </c>
      <c r="E5" s="575"/>
      <c r="F5" s="575"/>
      <c r="G5" s="576"/>
      <c r="H5" s="287" t="str">
        <f>HYPERLINK(CONCATENATE("http://garwiki.regn.net/mediawiki/index.php/",SUBSTITUTE(D5," ","_"),"_(golden_rule)"),"?")</f>
        <v>?</v>
      </c>
      <c r="I5" s="130" t="str">
        <f>I6</f>
        <v/>
      </c>
      <c r="J5" s="130" t="str">
        <f t="shared" ref="J5:AD5" si="0">J6</f>
        <v>x</v>
      </c>
      <c r="K5" s="130" t="str">
        <f>K6</f>
        <v/>
      </c>
      <c r="L5" s="130" t="str">
        <f t="shared" si="0"/>
        <v>x</v>
      </c>
      <c r="M5" s="130" t="str">
        <f t="shared" si="0"/>
        <v>x</v>
      </c>
      <c r="N5" s="130" t="str">
        <f t="shared" si="0"/>
        <v>x</v>
      </c>
      <c r="O5" s="130" t="str">
        <f t="shared" si="0"/>
        <v>x</v>
      </c>
      <c r="P5" s="130" t="str">
        <f t="shared" si="0"/>
        <v>x</v>
      </c>
      <c r="Q5" s="130" t="str">
        <f t="shared" si="0"/>
        <v>x</v>
      </c>
      <c r="R5" s="130" t="str">
        <f t="shared" si="0"/>
        <v>x</v>
      </c>
      <c r="S5" s="130" t="str">
        <f t="shared" si="0"/>
        <v>x</v>
      </c>
      <c r="T5" s="130" t="str">
        <f t="shared" si="0"/>
        <v>x</v>
      </c>
      <c r="U5" s="130" t="str">
        <f t="shared" si="0"/>
        <v>x</v>
      </c>
      <c r="V5" s="130" t="str">
        <f t="shared" si="0"/>
        <v>x</v>
      </c>
      <c r="W5" s="130" t="str">
        <f t="shared" si="0"/>
        <v/>
      </c>
      <c r="X5" s="130" t="str">
        <f t="shared" si="0"/>
        <v/>
      </c>
      <c r="Y5" s="130" t="str">
        <f t="shared" si="0"/>
        <v/>
      </c>
      <c r="Z5" s="130" t="str">
        <f t="shared" si="0"/>
        <v/>
      </c>
      <c r="AA5" s="130" t="str">
        <f t="shared" si="0"/>
        <v/>
      </c>
      <c r="AB5" s="130" t="str">
        <f t="shared" si="0"/>
        <v/>
      </c>
      <c r="AC5" s="130" t="str">
        <f t="shared" si="0"/>
        <v/>
      </c>
      <c r="AD5" s="130" t="str">
        <f t="shared" si="0"/>
        <v/>
      </c>
    </row>
    <row r="6" spans="1:30" ht="25.5" customHeight="1" x14ac:dyDescent="0.25">
      <c r="A6" s="212"/>
      <c r="B6" s="591" t="s">
        <v>1195</v>
      </c>
      <c r="C6" s="592"/>
      <c r="D6" s="593"/>
      <c r="E6" s="152"/>
      <c r="F6" s="299" t="s">
        <v>31</v>
      </c>
      <c r="G6" s="119"/>
      <c r="H6" s="142"/>
      <c r="I6" s="105" t="str">
        <f>IF(COUNTIF(I7:I10,"x")=0,"","x")</f>
        <v/>
      </c>
      <c r="J6" s="105" t="str">
        <f t="shared" ref="J6:AD6" si="1">IF(COUNTIF(J7:J10,"x")=0,"","x")</f>
        <v>x</v>
      </c>
      <c r="K6" s="105" t="str">
        <f>IF(COUNTIF(K7:K10,"x")=0,"","x")</f>
        <v/>
      </c>
      <c r="L6" s="105" t="str">
        <f t="shared" ref="L6" si="2">IF(COUNTIF(L7:L10,"x")=0,"","x")</f>
        <v>x</v>
      </c>
      <c r="M6" s="105" t="str">
        <f t="shared" si="1"/>
        <v>x</v>
      </c>
      <c r="N6" s="105" t="str">
        <f t="shared" si="1"/>
        <v>x</v>
      </c>
      <c r="O6" s="105" t="str">
        <f t="shared" si="1"/>
        <v>x</v>
      </c>
      <c r="P6" s="105" t="str">
        <f t="shared" si="1"/>
        <v>x</v>
      </c>
      <c r="Q6" s="105" t="str">
        <f t="shared" si="1"/>
        <v>x</v>
      </c>
      <c r="R6" s="105" t="str">
        <f t="shared" si="1"/>
        <v>x</v>
      </c>
      <c r="S6" s="105" t="str">
        <f t="shared" si="1"/>
        <v>x</v>
      </c>
      <c r="T6" s="105" t="str">
        <f t="shared" si="1"/>
        <v>x</v>
      </c>
      <c r="U6" s="105" t="str">
        <f t="shared" si="1"/>
        <v>x</v>
      </c>
      <c r="V6" s="105" t="str">
        <f t="shared" si="1"/>
        <v>x</v>
      </c>
      <c r="W6" s="105" t="str">
        <f t="shared" si="1"/>
        <v/>
      </c>
      <c r="X6" s="105" t="str">
        <f t="shared" si="1"/>
        <v/>
      </c>
      <c r="Y6" s="105" t="str">
        <f t="shared" si="1"/>
        <v/>
      </c>
      <c r="Z6" s="105" t="str">
        <f t="shared" si="1"/>
        <v/>
      </c>
      <c r="AA6" s="105" t="str">
        <f t="shared" ref="AA6:AB6" si="3">IF(COUNTIF(AA7:AA10,"x")=0,"","x")</f>
        <v/>
      </c>
      <c r="AB6" s="105" t="str">
        <f t="shared" si="3"/>
        <v/>
      </c>
      <c r="AC6" s="105" t="str">
        <f t="shared" si="1"/>
        <v/>
      </c>
      <c r="AD6" s="105" t="str">
        <f t="shared" si="1"/>
        <v/>
      </c>
    </row>
    <row r="7" spans="1:30" ht="100" x14ac:dyDescent="0.25">
      <c r="A7" s="212" t="s">
        <v>521</v>
      </c>
      <c r="B7" s="39" t="s">
        <v>52</v>
      </c>
      <c r="C7" s="373" t="s">
        <v>55</v>
      </c>
      <c r="D7" s="405" t="s">
        <v>1081</v>
      </c>
      <c r="E7" s="144"/>
      <c r="F7" s="301"/>
      <c r="G7" s="148"/>
      <c r="H7" s="287" t="str">
        <f>HYPERLINK(CONCATENATE("http://garwiki.regn.net/mediawiki/index.php/Scorecard_Rule_",MID(A7,FIND(":",A7)+1,9)),"?")</f>
        <v>?</v>
      </c>
      <c r="I7" s="106"/>
      <c r="J7" s="105" t="s">
        <v>144</v>
      </c>
      <c r="K7" s="106"/>
      <c r="L7" s="105" t="s">
        <v>144</v>
      </c>
      <c r="M7" s="62" t="s">
        <v>144</v>
      </c>
      <c r="N7" s="62" t="s">
        <v>144</v>
      </c>
      <c r="O7" s="105" t="s">
        <v>144</v>
      </c>
      <c r="P7" s="105" t="s">
        <v>144</v>
      </c>
      <c r="Q7" s="105" t="s">
        <v>144</v>
      </c>
      <c r="R7" s="105" t="s">
        <v>144</v>
      </c>
      <c r="S7" s="105" t="s">
        <v>144</v>
      </c>
      <c r="T7" s="105" t="s">
        <v>144</v>
      </c>
      <c r="U7" s="105" t="s">
        <v>144</v>
      </c>
      <c r="V7" s="105" t="s">
        <v>144</v>
      </c>
      <c r="W7" s="105"/>
      <c r="X7" s="105"/>
      <c r="Y7" s="106"/>
      <c r="Z7" s="106"/>
      <c r="AA7" s="106"/>
      <c r="AB7" s="106"/>
      <c r="AC7" s="106"/>
      <c r="AD7" s="106"/>
    </row>
    <row r="8" spans="1:30" ht="62.5" x14ac:dyDescent="0.25">
      <c r="A8" s="212" t="s">
        <v>522</v>
      </c>
      <c r="B8" s="39" t="s">
        <v>52</v>
      </c>
      <c r="C8" s="373" t="s">
        <v>56</v>
      </c>
      <c r="D8" s="405" t="s">
        <v>1082</v>
      </c>
      <c r="E8" s="144"/>
      <c r="F8" s="301"/>
      <c r="G8" s="148"/>
      <c r="H8" s="287" t="str">
        <f t="shared" ref="H8:H10" si="4">HYPERLINK(CONCATENATE("http://garwiki.regn.net/mediawiki/index.php/Scorecard_Rule_",MID(A8,FIND(":",A8)+1,9)),"?")</f>
        <v>?</v>
      </c>
      <c r="I8" s="345"/>
      <c r="J8" s="345" t="s">
        <v>144</v>
      </c>
      <c r="K8" s="345"/>
      <c r="L8" s="345" t="s">
        <v>144</v>
      </c>
      <c r="M8" s="412"/>
      <c r="N8" s="412"/>
      <c r="O8" s="346"/>
      <c r="P8" s="345" t="s">
        <v>144</v>
      </c>
      <c r="Q8" s="346"/>
      <c r="R8" s="345" t="s">
        <v>144</v>
      </c>
      <c r="S8" s="346"/>
      <c r="T8" s="345" t="s">
        <v>144</v>
      </c>
      <c r="U8" s="346"/>
      <c r="V8" s="345" t="s">
        <v>144</v>
      </c>
      <c r="W8" s="345"/>
      <c r="X8" s="345"/>
      <c r="Y8" s="346"/>
      <c r="Z8" s="346"/>
      <c r="AA8" s="346"/>
      <c r="AB8" s="346"/>
      <c r="AC8" s="346"/>
      <c r="AD8" s="346"/>
    </row>
    <row r="9" spans="1:30" ht="75" x14ac:dyDescent="0.25">
      <c r="A9" s="212" t="s">
        <v>524</v>
      </c>
      <c r="B9" s="39" t="s">
        <v>52</v>
      </c>
      <c r="C9" s="373" t="s">
        <v>169</v>
      </c>
      <c r="D9" s="405" t="s">
        <v>1006</v>
      </c>
      <c r="E9" s="351"/>
      <c r="F9" s="301"/>
      <c r="G9" s="353"/>
      <c r="H9" s="287" t="str">
        <f t="shared" si="4"/>
        <v>?</v>
      </c>
      <c r="I9" s="345"/>
      <c r="J9" s="345" t="s">
        <v>144</v>
      </c>
      <c r="K9" s="345"/>
      <c r="L9" s="345" t="s">
        <v>144</v>
      </c>
      <c r="M9" s="412"/>
      <c r="N9" s="412" t="s">
        <v>144</v>
      </c>
      <c r="O9" s="346"/>
      <c r="P9" s="345" t="s">
        <v>144</v>
      </c>
      <c r="Q9" s="346"/>
      <c r="R9" s="345" t="s">
        <v>144</v>
      </c>
      <c r="S9" s="346"/>
      <c r="T9" s="345" t="s">
        <v>144</v>
      </c>
      <c r="U9" s="346"/>
      <c r="V9" s="345" t="s">
        <v>144</v>
      </c>
      <c r="W9" s="345"/>
      <c r="X9" s="345"/>
      <c r="Y9" s="346"/>
      <c r="Z9" s="346"/>
      <c r="AA9" s="346"/>
      <c r="AB9" s="346"/>
      <c r="AC9" s="346"/>
      <c r="AD9" s="346"/>
    </row>
    <row r="10" spans="1:30" ht="87.5" x14ac:dyDescent="0.25">
      <c r="A10" s="212" t="s">
        <v>525</v>
      </c>
      <c r="B10" s="39" t="s">
        <v>52</v>
      </c>
      <c r="C10" s="373" t="s">
        <v>1264</v>
      </c>
      <c r="D10" s="405" t="s">
        <v>1072</v>
      </c>
      <c r="E10" s="144"/>
      <c r="F10" s="301"/>
      <c r="G10" s="148"/>
      <c r="H10" s="287" t="str">
        <f t="shared" si="4"/>
        <v>?</v>
      </c>
      <c r="I10" s="345"/>
      <c r="J10" s="345" t="s">
        <v>144</v>
      </c>
      <c r="K10" s="345"/>
      <c r="L10" s="345" t="s">
        <v>144</v>
      </c>
      <c r="M10" s="412"/>
      <c r="N10" s="412"/>
      <c r="O10" s="346"/>
      <c r="P10" s="345" t="s">
        <v>144</v>
      </c>
      <c r="Q10" s="346"/>
      <c r="R10" s="345" t="s">
        <v>144</v>
      </c>
      <c r="S10" s="346"/>
      <c r="T10" s="345" t="s">
        <v>144</v>
      </c>
      <c r="U10" s="346"/>
      <c r="V10" s="345" t="s">
        <v>144</v>
      </c>
      <c r="W10" s="345"/>
      <c r="X10" s="345"/>
      <c r="Y10" s="346"/>
      <c r="Z10" s="346"/>
      <c r="AA10" s="346"/>
      <c r="AB10" s="346"/>
      <c r="AC10" s="346"/>
      <c r="AD10" s="346"/>
    </row>
    <row r="11" spans="1:30" ht="13" x14ac:dyDescent="0.25">
      <c r="A11" s="212" t="s">
        <v>1099</v>
      </c>
      <c r="B11" s="132" t="s">
        <v>143</v>
      </c>
      <c r="C11" s="131" t="s">
        <v>613</v>
      </c>
      <c r="D11" s="574" t="s">
        <v>1196</v>
      </c>
      <c r="E11" s="575"/>
      <c r="F11" s="575"/>
      <c r="G11" s="576"/>
      <c r="H11" s="287" t="str">
        <f>HYPERLINK(CONCATENATE("http://garwiki.regn.net/mediawiki/index.php/",SUBSTITUTE(D11," ","_"),"_(golden_rule)"),"?")</f>
        <v>?</v>
      </c>
      <c r="I11" s="130" t="str">
        <f>I12</f>
        <v/>
      </c>
      <c r="J11" s="130" t="str">
        <f t="shared" ref="J11:AD11" si="5">J12</f>
        <v>x</v>
      </c>
      <c r="K11" s="130" t="str">
        <f>K12</f>
        <v/>
      </c>
      <c r="L11" s="130" t="str">
        <f t="shared" si="5"/>
        <v>x</v>
      </c>
      <c r="M11" s="130" t="str">
        <f t="shared" si="5"/>
        <v/>
      </c>
      <c r="N11" s="130" t="str">
        <f t="shared" si="5"/>
        <v>x</v>
      </c>
      <c r="O11" s="130" t="str">
        <f t="shared" si="5"/>
        <v/>
      </c>
      <c r="P11" s="130" t="str">
        <f t="shared" si="5"/>
        <v>x</v>
      </c>
      <c r="Q11" s="130" t="str">
        <f t="shared" si="5"/>
        <v/>
      </c>
      <c r="R11" s="130" t="str">
        <f t="shared" si="5"/>
        <v>x</v>
      </c>
      <c r="S11" s="130" t="str">
        <f t="shared" si="5"/>
        <v/>
      </c>
      <c r="T11" s="130" t="str">
        <f t="shared" si="5"/>
        <v>x</v>
      </c>
      <c r="U11" s="130" t="str">
        <f t="shared" si="5"/>
        <v/>
      </c>
      <c r="V11" s="130" t="str">
        <f t="shared" si="5"/>
        <v>x</v>
      </c>
      <c r="W11" s="130" t="str">
        <f t="shared" si="5"/>
        <v/>
      </c>
      <c r="X11" s="130" t="str">
        <f t="shared" si="5"/>
        <v/>
      </c>
      <c r="Y11" s="130" t="str">
        <f t="shared" si="5"/>
        <v/>
      </c>
      <c r="Z11" s="130" t="str">
        <f t="shared" si="5"/>
        <v/>
      </c>
      <c r="AA11" s="130" t="str">
        <f t="shared" si="5"/>
        <v/>
      </c>
      <c r="AB11" s="130" t="str">
        <f t="shared" si="5"/>
        <v/>
      </c>
      <c r="AC11" s="130" t="str">
        <f t="shared" si="5"/>
        <v/>
      </c>
      <c r="AD11" s="130" t="str">
        <f t="shared" si="5"/>
        <v/>
      </c>
    </row>
    <row r="12" spans="1:30" ht="25.5" customHeight="1" x14ac:dyDescent="0.25">
      <c r="A12" s="212"/>
      <c r="B12" s="569" t="s">
        <v>1196</v>
      </c>
      <c r="C12" s="572"/>
      <c r="D12" s="573"/>
      <c r="E12" s="152"/>
      <c r="F12" s="299" t="s">
        <v>31</v>
      </c>
      <c r="G12" s="119"/>
      <c r="H12" s="287"/>
      <c r="I12" s="105" t="str">
        <f t="shared" ref="I12:AD12" si="6">IF(COUNTIF(I13:I13,"x")=0,"","x")</f>
        <v/>
      </c>
      <c r="J12" s="105" t="str">
        <f t="shared" si="6"/>
        <v>x</v>
      </c>
      <c r="K12" s="105" t="str">
        <f t="shared" si="6"/>
        <v/>
      </c>
      <c r="L12" s="105" t="str">
        <f t="shared" si="6"/>
        <v>x</v>
      </c>
      <c r="M12" s="105" t="str">
        <f t="shared" si="6"/>
        <v/>
      </c>
      <c r="N12" s="105" t="str">
        <f t="shared" si="6"/>
        <v>x</v>
      </c>
      <c r="O12" s="105" t="str">
        <f t="shared" si="6"/>
        <v/>
      </c>
      <c r="P12" s="105" t="str">
        <f t="shared" si="6"/>
        <v>x</v>
      </c>
      <c r="Q12" s="105" t="str">
        <f t="shared" si="6"/>
        <v/>
      </c>
      <c r="R12" s="105" t="str">
        <f t="shared" si="6"/>
        <v>x</v>
      </c>
      <c r="S12" s="105" t="str">
        <f t="shared" si="6"/>
        <v/>
      </c>
      <c r="T12" s="105" t="str">
        <f t="shared" si="6"/>
        <v>x</v>
      </c>
      <c r="U12" s="105" t="str">
        <f t="shared" si="6"/>
        <v/>
      </c>
      <c r="V12" s="105" t="str">
        <f t="shared" si="6"/>
        <v>x</v>
      </c>
      <c r="W12" s="105" t="str">
        <f t="shared" si="6"/>
        <v/>
      </c>
      <c r="X12" s="105" t="str">
        <f t="shared" si="6"/>
        <v/>
      </c>
      <c r="Y12" s="105" t="str">
        <f t="shared" si="6"/>
        <v/>
      </c>
      <c r="Z12" s="105" t="str">
        <f t="shared" si="6"/>
        <v/>
      </c>
      <c r="AA12" s="105" t="str">
        <f t="shared" si="6"/>
        <v/>
      </c>
      <c r="AB12" s="105" t="str">
        <f t="shared" si="6"/>
        <v/>
      </c>
      <c r="AC12" s="105" t="str">
        <f t="shared" si="6"/>
        <v/>
      </c>
      <c r="AD12" s="105" t="str">
        <f t="shared" si="6"/>
        <v/>
      </c>
    </row>
    <row r="13" spans="1:30" ht="37.5" x14ac:dyDescent="0.25">
      <c r="A13" s="212" t="s">
        <v>833</v>
      </c>
      <c r="B13" s="39" t="s">
        <v>52</v>
      </c>
      <c r="C13" s="373" t="s">
        <v>46</v>
      </c>
      <c r="D13" s="405" t="s">
        <v>1007</v>
      </c>
      <c r="E13" s="144"/>
      <c r="F13" s="301"/>
      <c r="G13" s="148"/>
      <c r="H13" s="287" t="str">
        <f t="shared" ref="H13" si="7">HYPERLINK(CONCATENATE("http://garwiki.regn.net/mediawiki/index.php/Scorecard_Rule_",MID(A13,FIND(":",A13)+1,9)),"?")</f>
        <v>?</v>
      </c>
      <c r="I13" s="345"/>
      <c r="J13" s="345" t="s">
        <v>144</v>
      </c>
      <c r="K13" s="345"/>
      <c r="L13" s="345" t="s">
        <v>144</v>
      </c>
      <c r="M13" s="412"/>
      <c r="N13" s="413" t="s">
        <v>144</v>
      </c>
      <c r="O13" s="346"/>
      <c r="P13" s="345" t="s">
        <v>144</v>
      </c>
      <c r="Q13" s="346"/>
      <c r="R13" s="345" t="s">
        <v>144</v>
      </c>
      <c r="S13" s="346"/>
      <c r="T13" s="345" t="s">
        <v>144</v>
      </c>
      <c r="U13" s="346"/>
      <c r="V13" s="345" t="s">
        <v>144</v>
      </c>
      <c r="W13" s="345"/>
      <c r="X13" s="345"/>
      <c r="Y13" s="346"/>
      <c r="Z13" s="346"/>
      <c r="AA13" s="346"/>
      <c r="AB13" s="346"/>
      <c r="AC13" s="346"/>
      <c r="AD13" s="346"/>
    </row>
  </sheetData>
  <sheetProtection formatColumns="0" formatRows="0"/>
  <mergeCells count="17">
    <mergeCell ref="D1:G1"/>
    <mergeCell ref="K2:L2"/>
    <mergeCell ref="W2:X2"/>
    <mergeCell ref="AA2:AB2"/>
    <mergeCell ref="AC2:AD2"/>
    <mergeCell ref="Y2:Z2"/>
    <mergeCell ref="B12:D12"/>
    <mergeCell ref="M2:N2"/>
    <mergeCell ref="D5:G5"/>
    <mergeCell ref="D11:G11"/>
    <mergeCell ref="U2:V2"/>
    <mergeCell ref="I2:J2"/>
    <mergeCell ref="O2:P2"/>
    <mergeCell ref="Q2:R2"/>
    <mergeCell ref="S2:T2"/>
    <mergeCell ref="B2:D2"/>
    <mergeCell ref="B6:D6"/>
  </mergeCells>
  <phoneticPr fontId="2" type="noConversion"/>
  <conditionalFormatting sqref="E2:E13">
    <cfRule type="cellIs" dxfId="188" priority="1" operator="equal">
      <formula>"N/A"</formula>
    </cfRule>
    <cfRule type="cellIs" dxfId="187" priority="11" stopIfTrue="1" operator="equal">
      <formula>"Yes-N/A"</formula>
    </cfRule>
    <cfRule type="cellIs" dxfId="186" priority="12" stopIfTrue="1" operator="equal">
      <formula>"P-WVR"</formula>
    </cfRule>
    <cfRule type="cellIs" dxfId="185" priority="13" stopIfTrue="1" operator="equal">
      <formula>"No"</formula>
    </cfRule>
    <cfRule type="cellIs" dxfId="184" priority="14" stopIfTrue="1" operator="equal">
      <formula>"Yes"</formula>
    </cfRule>
    <cfRule type="cellIs" dxfId="183" priority="15" stopIfTrue="1" operator="equal">
      <formula>"WVR"</formula>
    </cfRule>
    <cfRule type="cellIs" dxfId="182" priority="16" stopIfTrue="1" operator="equal">
      <formula>"T-WVR"</formula>
    </cfRule>
    <cfRule type="cellIs" dxfId="181" priority="17" stopIfTrue="1" operator="equal">
      <formula>"R"</formula>
    </cfRule>
    <cfRule type="cellIs" dxfId="180" priority="18" stopIfTrue="1" operator="equal">
      <formula>"Y"</formula>
    </cfRule>
    <cfRule type="cellIs" dxfId="179" priority="19" stopIfTrue="1" operator="equal">
      <formula>"G"</formula>
    </cfRule>
  </conditionalFormatting>
  <dataValidations count="4">
    <dataValidation type="list" allowBlank="1" showInputMessage="1" showErrorMessage="1" sqref="E7:E10 E13">
      <formula1>ValidValues</formula1>
    </dataValidation>
    <dataValidation type="list" allowBlank="1" showInputMessage="1" showErrorMessage="1" sqref="E6 E12">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13">
      <formula1>1</formula1>
      <formula2>10000</formula2>
    </dataValidation>
  </dataValidations>
  <pageMargins left="0.7" right="0.7" top="0.75" bottom="0.75" header="0.3" footer="0.3"/>
  <pageSetup scale="97" fitToHeight="100" orientation="landscape" r:id="rId1"/>
  <headerFooter>
    <oddHeader>&amp;L&amp;F&amp;C&amp;A&amp;R&amp;D</oddHeader>
    <oddFooter>&amp;C&amp;P of &amp;N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autoPageBreaks="0" fitToPage="1"/>
  </sheetPr>
  <dimension ref="A1:AD15"/>
  <sheetViews>
    <sheetView zoomScaleNormal="100" workbookViewId="0">
      <pane ySplit="4" topLeftCell="A5" activePane="bottomLeft" state="frozenSplit"/>
      <selection pane="bottomLeft" activeCell="E7" sqref="E7"/>
    </sheetView>
  </sheetViews>
  <sheetFormatPr defaultRowHeight="12.5" x14ac:dyDescent="0.25"/>
  <cols>
    <col min="1" max="1" width="1.81640625" customWidth="1"/>
    <col min="2" max="2" width="5.7265625" customWidth="1"/>
    <col min="3" max="3" width="9.1796875" customWidth="1"/>
    <col min="4" max="4" width="54.453125" customWidth="1"/>
    <col min="5" max="5" width="8" customWidth="1"/>
    <col min="6" max="6" width="41.54296875" customWidth="1"/>
    <col min="7" max="7" width="9.453125" customWidth="1"/>
    <col min="8" max="8" width="2" bestFit="1" customWidth="1"/>
    <col min="9" max="12" width="3.81640625" customWidth="1"/>
    <col min="13" max="13" width="3.7265625" customWidth="1"/>
    <col min="14" max="30" width="3.81640625" customWidth="1"/>
  </cols>
  <sheetData>
    <row r="1" spans="1:30" ht="18" x14ac:dyDescent="0.25">
      <c r="A1" s="212" t="s">
        <v>555</v>
      </c>
      <c r="B1" s="372" t="s">
        <v>143</v>
      </c>
      <c r="C1" s="371">
        <v>4</v>
      </c>
      <c r="D1" s="580" t="s">
        <v>91</v>
      </c>
      <c r="E1" s="581"/>
      <c r="F1" s="581"/>
      <c r="G1" s="582"/>
      <c r="H1" s="287" t="str">
        <f>HYPERLINK(CONCATENATE("http://garwiki.regn.net/mediawiki/index.php/",SUBSTITUTE(D1," ","_"),"_(principle)"),"?")</f>
        <v>?</v>
      </c>
      <c r="I1" s="134" t="s">
        <v>414</v>
      </c>
      <c r="J1" s="134" t="s">
        <v>415</v>
      </c>
      <c r="K1" s="134" t="s">
        <v>414</v>
      </c>
      <c r="L1" s="134" t="s">
        <v>415</v>
      </c>
      <c r="M1" s="134" t="s">
        <v>414</v>
      </c>
      <c r="N1" s="134" t="s">
        <v>415</v>
      </c>
      <c r="O1" s="134" t="s">
        <v>414</v>
      </c>
      <c r="P1" s="134" t="s">
        <v>415</v>
      </c>
      <c r="Q1" s="134" t="s">
        <v>414</v>
      </c>
      <c r="R1" s="134" t="s">
        <v>415</v>
      </c>
      <c r="S1" s="134" t="s">
        <v>414</v>
      </c>
      <c r="T1" s="134" t="s">
        <v>415</v>
      </c>
      <c r="U1" s="134" t="s">
        <v>414</v>
      </c>
      <c r="V1" s="134" t="s">
        <v>415</v>
      </c>
      <c r="W1" s="134" t="s">
        <v>414</v>
      </c>
      <c r="X1" s="134" t="s">
        <v>415</v>
      </c>
      <c r="Y1" s="134" t="s">
        <v>414</v>
      </c>
      <c r="Z1" s="134" t="s">
        <v>415</v>
      </c>
      <c r="AA1" s="134" t="s">
        <v>414</v>
      </c>
      <c r="AB1" s="134" t="s">
        <v>415</v>
      </c>
      <c r="AC1" s="134" t="s">
        <v>414</v>
      </c>
      <c r="AD1" s="134" t="s">
        <v>415</v>
      </c>
    </row>
    <row r="2" spans="1:30" ht="36" customHeight="1" x14ac:dyDescent="0.25">
      <c r="A2" s="212"/>
      <c r="B2" s="594" t="s">
        <v>1206</v>
      </c>
      <c r="C2" s="594"/>
      <c r="D2" s="594"/>
      <c r="E2" s="179"/>
      <c r="F2" s="302" t="s">
        <v>31</v>
      </c>
      <c r="G2" s="270"/>
      <c r="H2" s="142"/>
      <c r="I2" s="579" t="s">
        <v>883</v>
      </c>
      <c r="J2" s="579"/>
      <c r="K2" s="579" t="s">
        <v>882</v>
      </c>
      <c r="L2" s="579"/>
      <c r="M2" s="579" t="s">
        <v>416</v>
      </c>
      <c r="N2" s="579"/>
      <c r="O2" s="579" t="s">
        <v>312</v>
      </c>
      <c r="P2" s="579"/>
      <c r="Q2" s="579" t="s">
        <v>313</v>
      </c>
      <c r="R2" s="579"/>
      <c r="S2" s="579" t="s">
        <v>311</v>
      </c>
      <c r="T2" s="579"/>
      <c r="U2" s="579" t="s">
        <v>314</v>
      </c>
      <c r="V2" s="579"/>
      <c r="W2" s="583" t="s">
        <v>565</v>
      </c>
      <c r="X2" s="584"/>
      <c r="Y2" s="583" t="s">
        <v>887</v>
      </c>
      <c r="Z2" s="584"/>
      <c r="AA2" s="583" t="s">
        <v>888</v>
      </c>
      <c r="AB2" s="584"/>
      <c r="AC2" s="583" t="s">
        <v>889</v>
      </c>
      <c r="AD2" s="584"/>
    </row>
    <row r="3" spans="1:30" ht="13" thickBot="1" x14ac:dyDescent="0.3">
      <c r="A3" s="212"/>
      <c r="C3" s="3"/>
      <c r="E3" s="76"/>
      <c r="F3" s="87"/>
      <c r="G3" s="58"/>
      <c r="H3" s="142"/>
      <c r="I3" s="106"/>
      <c r="J3" s="106"/>
      <c r="K3" s="106"/>
      <c r="L3" s="106"/>
      <c r="M3" s="62"/>
      <c r="N3" s="62"/>
      <c r="O3" s="106"/>
      <c r="P3" s="106"/>
      <c r="Q3" s="106"/>
      <c r="R3" s="106"/>
      <c r="S3" s="106"/>
      <c r="T3" s="106"/>
      <c r="U3" s="106"/>
      <c r="V3" s="106"/>
      <c r="W3" s="106"/>
      <c r="X3" s="106"/>
      <c r="Y3" s="106"/>
      <c r="Z3" s="106"/>
      <c r="AA3" s="106"/>
      <c r="AB3" s="106"/>
      <c r="AC3" s="106"/>
      <c r="AD3" s="106"/>
    </row>
    <row r="4" spans="1:30" ht="26" x14ac:dyDescent="0.25">
      <c r="A4" s="212"/>
      <c r="B4" s="25" t="s">
        <v>50</v>
      </c>
      <c r="C4" s="26" t="s">
        <v>51</v>
      </c>
      <c r="D4" s="26" t="s">
        <v>35</v>
      </c>
      <c r="E4" s="77" t="s">
        <v>24</v>
      </c>
      <c r="F4" s="86" t="s">
        <v>36</v>
      </c>
      <c r="G4" s="234" t="s">
        <v>656</v>
      </c>
      <c r="H4" s="142"/>
      <c r="I4" s="111" t="s">
        <v>144</v>
      </c>
      <c r="J4" s="111" t="s">
        <v>144</v>
      </c>
      <c r="K4" s="111" t="s">
        <v>144</v>
      </c>
      <c r="L4" s="111" t="s">
        <v>144</v>
      </c>
      <c r="M4" s="111" t="s">
        <v>144</v>
      </c>
      <c r="N4" s="111" t="s">
        <v>144</v>
      </c>
      <c r="O4" s="111" t="s">
        <v>144</v>
      </c>
      <c r="P4" s="111" t="s">
        <v>144</v>
      </c>
      <c r="Q4" s="111" t="s">
        <v>144</v>
      </c>
      <c r="R4" s="111" t="s">
        <v>144</v>
      </c>
      <c r="S4" s="111" t="s">
        <v>144</v>
      </c>
      <c r="T4" s="111" t="s">
        <v>144</v>
      </c>
      <c r="U4" s="111" t="s">
        <v>144</v>
      </c>
      <c r="V4" s="111" t="s">
        <v>144</v>
      </c>
      <c r="W4" s="111" t="s">
        <v>144</v>
      </c>
      <c r="X4" s="111" t="s">
        <v>144</v>
      </c>
      <c r="Y4" s="111" t="s">
        <v>144</v>
      </c>
      <c r="Z4" s="111" t="s">
        <v>144</v>
      </c>
      <c r="AA4" s="111" t="s">
        <v>144</v>
      </c>
      <c r="AB4" s="111" t="s">
        <v>144</v>
      </c>
      <c r="AC4" s="111" t="s">
        <v>144</v>
      </c>
      <c r="AD4" s="111" t="s">
        <v>144</v>
      </c>
    </row>
    <row r="5" spans="1:30" ht="13" x14ac:dyDescent="0.25">
      <c r="A5" s="212" t="s">
        <v>1097</v>
      </c>
      <c r="B5" s="132" t="s">
        <v>143</v>
      </c>
      <c r="C5" s="131" t="s">
        <v>1265</v>
      </c>
      <c r="D5" s="566" t="s">
        <v>1189</v>
      </c>
      <c r="E5" s="567"/>
      <c r="F5" s="567"/>
      <c r="G5" s="568"/>
      <c r="H5" s="287" t="str">
        <f>HYPERLINK(CONCATENATE("http://garwiki.regn.net/mediawiki/index.php/",SUBSTITUTE(D5," ","_"),"_(golden_rule)"),"?")</f>
        <v>?</v>
      </c>
      <c r="I5" s="130" t="str">
        <f>I6</f>
        <v>x</v>
      </c>
      <c r="J5" s="130" t="str">
        <f t="shared" ref="J5:AD5" si="0">J6</f>
        <v>x</v>
      </c>
      <c r="K5" s="130" t="str">
        <f>K6</f>
        <v>x</v>
      </c>
      <c r="L5" s="130" t="str">
        <f t="shared" si="0"/>
        <v>x</v>
      </c>
      <c r="M5" s="130" t="str">
        <f t="shared" si="0"/>
        <v/>
      </c>
      <c r="N5" s="130" t="str">
        <f t="shared" si="0"/>
        <v/>
      </c>
      <c r="O5" s="130" t="str">
        <f t="shared" si="0"/>
        <v>x</v>
      </c>
      <c r="P5" s="130" t="str">
        <f t="shared" si="0"/>
        <v>x</v>
      </c>
      <c r="Q5" s="130" t="str">
        <f t="shared" si="0"/>
        <v>x</v>
      </c>
      <c r="R5" s="130" t="str">
        <f t="shared" si="0"/>
        <v>x</v>
      </c>
      <c r="S5" s="130" t="str">
        <f t="shared" si="0"/>
        <v>x</v>
      </c>
      <c r="T5" s="130" t="str">
        <f t="shared" si="0"/>
        <v>x</v>
      </c>
      <c r="U5" s="130" t="str">
        <f t="shared" si="0"/>
        <v>x</v>
      </c>
      <c r="V5" s="130" t="str">
        <f t="shared" si="0"/>
        <v>x</v>
      </c>
      <c r="W5" s="130" t="str">
        <f t="shared" si="0"/>
        <v/>
      </c>
      <c r="X5" s="130" t="str">
        <f t="shared" si="0"/>
        <v/>
      </c>
      <c r="Y5" s="130" t="str">
        <f t="shared" si="0"/>
        <v/>
      </c>
      <c r="Z5" s="130" t="str">
        <f t="shared" si="0"/>
        <v/>
      </c>
      <c r="AA5" s="130" t="str">
        <f t="shared" si="0"/>
        <v/>
      </c>
      <c r="AB5" s="130" t="str">
        <f t="shared" si="0"/>
        <v/>
      </c>
      <c r="AC5" s="130" t="str">
        <f t="shared" si="0"/>
        <v/>
      </c>
      <c r="AD5" s="130" t="str">
        <f t="shared" si="0"/>
        <v/>
      </c>
    </row>
    <row r="6" spans="1:30" x14ac:dyDescent="0.25">
      <c r="A6" s="212"/>
      <c r="B6" s="569" t="s">
        <v>1189</v>
      </c>
      <c r="C6" s="572"/>
      <c r="D6" s="573"/>
      <c r="E6" s="179"/>
      <c r="F6" s="299" t="s">
        <v>31</v>
      </c>
      <c r="G6" s="119"/>
      <c r="H6" s="142"/>
      <c r="I6" s="105" t="str">
        <f>IF(COUNTIF(I7:I10,"x")=0,"","x")</f>
        <v>x</v>
      </c>
      <c r="J6" s="105" t="str">
        <f t="shared" ref="J6:AD6" si="1">IF(COUNTIF(J7:J10,"x")=0,"","x")</f>
        <v>x</v>
      </c>
      <c r="K6" s="105" t="str">
        <f>IF(COUNTIF(K7:K10,"x")=0,"","x")</f>
        <v>x</v>
      </c>
      <c r="L6" s="105" t="str">
        <f t="shared" ref="L6" si="2">IF(COUNTIF(L7:L10,"x")=0,"","x")</f>
        <v>x</v>
      </c>
      <c r="M6" s="105" t="str">
        <f t="shared" si="1"/>
        <v/>
      </c>
      <c r="N6" s="105" t="str">
        <f t="shared" si="1"/>
        <v/>
      </c>
      <c r="O6" s="105" t="str">
        <f t="shared" si="1"/>
        <v>x</v>
      </c>
      <c r="P6" s="105" t="str">
        <f t="shared" si="1"/>
        <v>x</v>
      </c>
      <c r="Q6" s="105" t="str">
        <f t="shared" si="1"/>
        <v>x</v>
      </c>
      <c r="R6" s="105" t="str">
        <f t="shared" si="1"/>
        <v>x</v>
      </c>
      <c r="S6" s="105" t="str">
        <f t="shared" si="1"/>
        <v>x</v>
      </c>
      <c r="T6" s="105" t="str">
        <f t="shared" si="1"/>
        <v>x</v>
      </c>
      <c r="U6" s="105" t="str">
        <f t="shared" si="1"/>
        <v>x</v>
      </c>
      <c r="V6" s="105" t="str">
        <f t="shared" si="1"/>
        <v>x</v>
      </c>
      <c r="W6" s="105" t="str">
        <f t="shared" si="1"/>
        <v/>
      </c>
      <c r="X6" s="105" t="str">
        <f t="shared" si="1"/>
        <v/>
      </c>
      <c r="Y6" s="105" t="str">
        <f t="shared" si="1"/>
        <v/>
      </c>
      <c r="Z6" s="105" t="str">
        <f t="shared" si="1"/>
        <v/>
      </c>
      <c r="AA6" s="105" t="str">
        <f t="shared" ref="AA6:AB6" si="3">IF(COUNTIF(AA7:AA10,"x")=0,"","x")</f>
        <v/>
      </c>
      <c r="AB6" s="105" t="str">
        <f t="shared" si="3"/>
        <v/>
      </c>
      <c r="AC6" s="105" t="str">
        <f t="shared" si="1"/>
        <v/>
      </c>
      <c r="AD6" s="105" t="str">
        <f t="shared" si="1"/>
        <v/>
      </c>
    </row>
    <row r="7" spans="1:30" ht="25" x14ac:dyDescent="0.25">
      <c r="A7" s="212" t="s">
        <v>1117</v>
      </c>
      <c r="B7" s="39" t="s">
        <v>52</v>
      </c>
      <c r="C7" s="373" t="s">
        <v>1266</v>
      </c>
      <c r="D7" s="5" t="s">
        <v>1079</v>
      </c>
      <c r="E7" s="153"/>
      <c r="F7" s="301"/>
      <c r="G7" s="148"/>
      <c r="H7" s="287" t="str">
        <f>HYPERLINK(CONCATENATE("http://garwiki.regn.net/mediawiki/index.php/Scorecard_Rule_",MID(A7,FIND(":",A7)+1,9)),"?")</f>
        <v>?</v>
      </c>
      <c r="I7" s="105" t="s">
        <v>144</v>
      </c>
      <c r="J7" s="106" t="s">
        <v>144</v>
      </c>
      <c r="K7" s="105" t="s">
        <v>144</v>
      </c>
      <c r="L7" s="106" t="s">
        <v>144</v>
      </c>
      <c r="M7" s="62"/>
      <c r="N7" s="62"/>
      <c r="O7" s="105" t="s">
        <v>144</v>
      </c>
      <c r="P7" s="106" t="s">
        <v>144</v>
      </c>
      <c r="Q7" s="105" t="s">
        <v>144</v>
      </c>
      <c r="R7" s="106" t="s">
        <v>144</v>
      </c>
      <c r="S7" s="105" t="s">
        <v>144</v>
      </c>
      <c r="T7" s="106" t="s">
        <v>144</v>
      </c>
      <c r="U7" s="105" t="s">
        <v>144</v>
      </c>
      <c r="V7" s="106" t="s">
        <v>144</v>
      </c>
      <c r="W7" s="106"/>
      <c r="X7" s="106"/>
      <c r="Y7" s="106"/>
      <c r="Z7" s="106"/>
      <c r="AA7" s="106"/>
      <c r="AB7" s="106"/>
      <c r="AC7" s="106"/>
      <c r="AD7" s="106"/>
    </row>
    <row r="8" spans="1:30" ht="37.5" x14ac:dyDescent="0.25">
      <c r="A8" s="212" t="s">
        <v>1118</v>
      </c>
      <c r="B8" s="49" t="s">
        <v>52</v>
      </c>
      <c r="C8" s="373" t="s">
        <v>1267</v>
      </c>
      <c r="D8" s="5" t="s">
        <v>992</v>
      </c>
      <c r="E8" s="153"/>
      <c r="F8" s="301"/>
      <c r="G8" s="148"/>
      <c r="H8" s="287" t="str">
        <f>HYPERLINK(CONCATENATE("http://garwiki.regn.net/mediawiki/index.php/Scorecard_Rule_",MID(A8,FIND(":",A8)+1,9)),"?")</f>
        <v>?</v>
      </c>
      <c r="I8" s="105"/>
      <c r="J8" s="106" t="s">
        <v>144</v>
      </c>
      <c r="K8" s="105"/>
      <c r="L8" s="106" t="s">
        <v>144</v>
      </c>
      <c r="M8" s="62"/>
      <c r="N8" s="62"/>
      <c r="O8" s="105"/>
      <c r="P8" s="106" t="s">
        <v>144</v>
      </c>
      <c r="Q8" s="105"/>
      <c r="R8" s="106" t="s">
        <v>144</v>
      </c>
      <c r="S8" s="105"/>
      <c r="T8" s="106" t="s">
        <v>144</v>
      </c>
      <c r="U8" s="105"/>
      <c r="V8" s="106" t="s">
        <v>144</v>
      </c>
      <c r="W8" s="106"/>
      <c r="X8" s="106"/>
      <c r="Y8" s="106"/>
      <c r="Z8" s="106"/>
      <c r="AA8" s="106"/>
      <c r="AB8" s="106"/>
      <c r="AC8" s="106"/>
      <c r="AD8" s="106"/>
    </row>
    <row r="9" spans="1:30" ht="25" x14ac:dyDescent="0.25">
      <c r="A9" s="212" t="s">
        <v>1119</v>
      </c>
      <c r="B9" s="39" t="s">
        <v>52</v>
      </c>
      <c r="C9" s="373" t="s">
        <v>1268</v>
      </c>
      <c r="D9" s="5" t="s">
        <v>993</v>
      </c>
      <c r="E9" s="153"/>
      <c r="F9" s="301"/>
      <c r="G9" s="148"/>
      <c r="H9" s="287" t="str">
        <f>HYPERLINK(CONCATENATE("http://garwiki.regn.net/mediawiki/index.php/Scorecard_Rule_",MID(A9,FIND(":",A9)+1,9)),"?")</f>
        <v>?</v>
      </c>
      <c r="I9" s="105"/>
      <c r="J9" s="106" t="s">
        <v>144</v>
      </c>
      <c r="K9" s="105"/>
      <c r="L9" s="106" t="s">
        <v>144</v>
      </c>
      <c r="M9" s="62"/>
      <c r="N9" s="62"/>
      <c r="O9" s="105"/>
      <c r="P9" s="106" t="s">
        <v>144</v>
      </c>
      <c r="Q9" s="105"/>
      <c r="R9" s="106" t="s">
        <v>144</v>
      </c>
      <c r="S9" s="105"/>
      <c r="T9" s="106" t="s">
        <v>144</v>
      </c>
      <c r="U9" s="105"/>
      <c r="V9" s="106" t="s">
        <v>144</v>
      </c>
      <c r="W9" s="106"/>
      <c r="X9" s="106"/>
      <c r="Y9" s="106"/>
      <c r="Z9" s="106"/>
      <c r="AA9" s="106"/>
      <c r="AB9" s="106"/>
      <c r="AC9" s="106"/>
      <c r="AD9" s="106"/>
    </row>
    <row r="10" spans="1:30" ht="25" x14ac:dyDescent="0.25">
      <c r="A10" s="212" t="s">
        <v>1120</v>
      </c>
      <c r="B10" s="39" t="s">
        <v>52</v>
      </c>
      <c r="C10" s="373" t="s">
        <v>1269</v>
      </c>
      <c r="D10" s="5" t="s">
        <v>994</v>
      </c>
      <c r="E10" s="153"/>
      <c r="F10" s="301"/>
      <c r="G10" s="148"/>
      <c r="H10" s="287" t="str">
        <f>HYPERLINK(CONCATENATE("http://garwiki.regn.net/mediawiki/index.php/Scorecard_Rule_",MID(A10,FIND(":",A10)+1,9)),"?")</f>
        <v>?</v>
      </c>
      <c r="I10" s="105"/>
      <c r="J10" s="106" t="s">
        <v>144</v>
      </c>
      <c r="K10" s="105"/>
      <c r="L10" s="106" t="s">
        <v>144</v>
      </c>
      <c r="M10" s="289"/>
      <c r="N10" s="289"/>
      <c r="O10" s="105"/>
      <c r="P10" s="106" t="s">
        <v>144</v>
      </c>
      <c r="Q10" s="105"/>
      <c r="R10" s="106" t="s">
        <v>144</v>
      </c>
      <c r="S10" s="105"/>
      <c r="T10" s="106" t="s">
        <v>144</v>
      </c>
      <c r="U10" s="105"/>
      <c r="V10" s="106" t="s">
        <v>144</v>
      </c>
      <c r="W10" s="106"/>
      <c r="X10" s="106"/>
      <c r="Y10" s="106"/>
      <c r="Z10" s="106"/>
      <c r="AA10" s="106"/>
      <c r="AB10" s="106"/>
      <c r="AC10" s="106"/>
      <c r="AD10" s="106"/>
    </row>
    <row r="11" spans="1:30" ht="13" x14ac:dyDescent="0.25">
      <c r="A11" s="212" t="s">
        <v>1098</v>
      </c>
      <c r="B11" s="132" t="s">
        <v>143</v>
      </c>
      <c r="C11" s="131" t="s">
        <v>1270</v>
      </c>
      <c r="D11" s="566" t="s">
        <v>1190</v>
      </c>
      <c r="E11" s="567"/>
      <c r="F11" s="567"/>
      <c r="G11" s="568"/>
      <c r="H11" s="287" t="str">
        <f>HYPERLINK(CONCATENATE("http://garwiki.regn.net/mediawiki/index.php/",SUBSTITUTE(D11," ","_"),"_(golden_rule)"),"?")</f>
        <v>?</v>
      </c>
      <c r="I11" s="130" t="str">
        <f>I12</f>
        <v/>
      </c>
      <c r="J11" s="130" t="str">
        <f t="shared" ref="J11:AD11" si="4">J12</f>
        <v>x</v>
      </c>
      <c r="K11" s="130" t="str">
        <f>K12</f>
        <v/>
      </c>
      <c r="L11" s="130" t="str">
        <f t="shared" si="4"/>
        <v>x</v>
      </c>
      <c r="M11" s="130" t="str">
        <f t="shared" si="4"/>
        <v/>
      </c>
      <c r="N11" s="130" t="str">
        <f t="shared" si="4"/>
        <v/>
      </c>
      <c r="O11" s="130" t="str">
        <f t="shared" si="4"/>
        <v/>
      </c>
      <c r="P11" s="130" t="str">
        <f t="shared" si="4"/>
        <v>x</v>
      </c>
      <c r="Q11" s="130" t="str">
        <f t="shared" si="4"/>
        <v/>
      </c>
      <c r="R11" s="130" t="str">
        <f t="shared" si="4"/>
        <v>x</v>
      </c>
      <c r="S11" s="130" t="str">
        <f t="shared" si="4"/>
        <v/>
      </c>
      <c r="T11" s="130" t="str">
        <f t="shared" si="4"/>
        <v>x</v>
      </c>
      <c r="U11" s="130" t="str">
        <f t="shared" si="4"/>
        <v/>
      </c>
      <c r="V11" s="130" t="str">
        <f t="shared" si="4"/>
        <v>x</v>
      </c>
      <c r="W11" s="130" t="str">
        <f t="shared" si="4"/>
        <v/>
      </c>
      <c r="X11" s="130" t="str">
        <f t="shared" si="4"/>
        <v/>
      </c>
      <c r="Y11" s="130" t="str">
        <f t="shared" si="4"/>
        <v/>
      </c>
      <c r="Z11" s="130" t="str">
        <f t="shared" si="4"/>
        <v/>
      </c>
      <c r="AA11" s="130" t="str">
        <f t="shared" si="4"/>
        <v/>
      </c>
      <c r="AB11" s="130" t="str">
        <f t="shared" si="4"/>
        <v/>
      </c>
      <c r="AC11" s="130" t="str">
        <f t="shared" si="4"/>
        <v/>
      </c>
      <c r="AD11" s="130" t="str">
        <f t="shared" si="4"/>
        <v/>
      </c>
    </row>
    <row r="12" spans="1:30" x14ac:dyDescent="0.25">
      <c r="A12" s="212"/>
      <c r="B12" s="569" t="s">
        <v>1190</v>
      </c>
      <c r="C12" s="572"/>
      <c r="D12" s="573"/>
      <c r="E12" s="179"/>
      <c r="F12" s="299" t="s">
        <v>31</v>
      </c>
      <c r="G12" s="119"/>
      <c r="H12" s="287"/>
      <c r="I12" s="105" t="str">
        <f>IF(COUNTIF(I13:I15,"x")=0,"","x")</f>
        <v/>
      </c>
      <c r="J12" s="105" t="str">
        <f t="shared" ref="J12:AD12" si="5">IF(COUNTIF(J13:J15,"x")=0,"","x")</f>
        <v>x</v>
      </c>
      <c r="K12" s="105" t="str">
        <f>IF(COUNTIF(K13:K15,"x")=0,"","x")</f>
        <v/>
      </c>
      <c r="L12" s="105" t="str">
        <f t="shared" ref="L12" si="6">IF(COUNTIF(L13:L15,"x")=0,"","x")</f>
        <v>x</v>
      </c>
      <c r="M12" s="105" t="str">
        <f t="shared" si="5"/>
        <v/>
      </c>
      <c r="N12" s="105" t="str">
        <f t="shared" si="5"/>
        <v/>
      </c>
      <c r="O12" s="105" t="str">
        <f t="shared" si="5"/>
        <v/>
      </c>
      <c r="P12" s="105" t="str">
        <f t="shared" si="5"/>
        <v>x</v>
      </c>
      <c r="Q12" s="105" t="str">
        <f t="shared" si="5"/>
        <v/>
      </c>
      <c r="R12" s="105" t="str">
        <f t="shared" si="5"/>
        <v>x</v>
      </c>
      <c r="S12" s="105" t="str">
        <f t="shared" si="5"/>
        <v/>
      </c>
      <c r="T12" s="105" t="str">
        <f t="shared" si="5"/>
        <v>x</v>
      </c>
      <c r="U12" s="105" t="str">
        <f t="shared" si="5"/>
        <v/>
      </c>
      <c r="V12" s="105" t="str">
        <f t="shared" si="5"/>
        <v>x</v>
      </c>
      <c r="W12" s="105" t="str">
        <f t="shared" si="5"/>
        <v/>
      </c>
      <c r="X12" s="105" t="str">
        <f t="shared" si="5"/>
        <v/>
      </c>
      <c r="Y12" s="105" t="str">
        <f t="shared" si="5"/>
        <v/>
      </c>
      <c r="Z12" s="105" t="str">
        <f t="shared" si="5"/>
        <v/>
      </c>
      <c r="AA12" s="105" t="str">
        <f t="shared" ref="AA12:AB12" si="7">IF(COUNTIF(AA13:AA15,"x")=0,"","x")</f>
        <v/>
      </c>
      <c r="AB12" s="105" t="str">
        <f t="shared" si="7"/>
        <v/>
      </c>
      <c r="AC12" s="105" t="str">
        <f t="shared" si="5"/>
        <v/>
      </c>
      <c r="AD12" s="105" t="str">
        <f t="shared" si="5"/>
        <v/>
      </c>
    </row>
    <row r="13" spans="1:30" ht="25" x14ac:dyDescent="0.25">
      <c r="A13" s="212" t="s">
        <v>1121</v>
      </c>
      <c r="B13" s="39" t="s">
        <v>52</v>
      </c>
      <c r="C13" s="373" t="s">
        <v>1271</v>
      </c>
      <c r="D13" s="5" t="s">
        <v>995</v>
      </c>
      <c r="E13" s="153"/>
      <c r="F13" s="301"/>
      <c r="G13" s="148"/>
      <c r="H13" s="287" t="str">
        <f>HYPERLINK(CONCATENATE("http://garwiki.regn.net/mediawiki/index.php/Scorecard_Rule_",MID(A13,FIND(":",A13)+1,9)),"?")</f>
        <v>?</v>
      </c>
      <c r="I13" s="105"/>
      <c r="J13" s="106" t="s">
        <v>144</v>
      </c>
      <c r="K13" s="105"/>
      <c r="L13" s="106" t="s">
        <v>144</v>
      </c>
      <c r="M13" s="62"/>
      <c r="N13" s="62"/>
      <c r="O13" s="105"/>
      <c r="P13" s="106" t="s">
        <v>144</v>
      </c>
      <c r="Q13" s="105"/>
      <c r="R13" s="106" t="s">
        <v>144</v>
      </c>
      <c r="S13" s="105"/>
      <c r="T13" s="106" t="s">
        <v>144</v>
      </c>
      <c r="U13" s="105"/>
      <c r="V13" s="106" t="s">
        <v>144</v>
      </c>
      <c r="W13" s="106"/>
      <c r="X13" s="106"/>
      <c r="Y13" s="106"/>
      <c r="Z13" s="106"/>
      <c r="AA13" s="106"/>
      <c r="AB13" s="106"/>
      <c r="AC13" s="106"/>
      <c r="AD13" s="106"/>
    </row>
    <row r="14" spans="1:30" ht="37.5" x14ac:dyDescent="0.25">
      <c r="A14" s="212" t="s">
        <v>1122</v>
      </c>
      <c r="B14" s="39" t="s">
        <v>52</v>
      </c>
      <c r="C14" s="373" t="s">
        <v>617</v>
      </c>
      <c r="D14" s="5" t="s">
        <v>996</v>
      </c>
      <c r="E14" s="153"/>
      <c r="F14" s="301"/>
      <c r="G14" s="148"/>
      <c r="H14" s="287" t="str">
        <f>HYPERLINK(CONCATENATE("http://garwiki.regn.net/mediawiki/index.php/Scorecard_Rule_",MID(A14,FIND(":",A14)+1,9)),"?")</f>
        <v>?</v>
      </c>
      <c r="I14" s="105"/>
      <c r="J14" s="106" t="s">
        <v>144</v>
      </c>
      <c r="K14" s="105"/>
      <c r="L14" s="106" t="s">
        <v>144</v>
      </c>
      <c r="M14" s="62"/>
      <c r="N14" s="62"/>
      <c r="O14" s="105"/>
      <c r="P14" s="106" t="s">
        <v>144</v>
      </c>
      <c r="Q14" s="105"/>
      <c r="R14" s="106" t="s">
        <v>144</v>
      </c>
      <c r="S14" s="105"/>
      <c r="T14" s="106" t="s">
        <v>144</v>
      </c>
      <c r="U14" s="105"/>
      <c r="V14" s="106" t="s">
        <v>144</v>
      </c>
      <c r="W14" s="106"/>
      <c r="X14" s="106"/>
      <c r="Y14" s="106"/>
      <c r="Z14" s="106"/>
      <c r="AA14" s="106"/>
      <c r="AB14" s="106"/>
      <c r="AC14" s="106"/>
      <c r="AD14" s="106"/>
    </row>
    <row r="15" spans="1:30" ht="75" x14ac:dyDescent="0.25">
      <c r="A15" s="212" t="s">
        <v>1123</v>
      </c>
      <c r="B15" s="39" t="s">
        <v>52</v>
      </c>
      <c r="C15" s="373" t="s">
        <v>1272</v>
      </c>
      <c r="D15" s="5" t="s">
        <v>997</v>
      </c>
      <c r="E15" s="153"/>
      <c r="F15" s="301"/>
      <c r="G15" s="148"/>
      <c r="H15" s="287" t="str">
        <f>HYPERLINK(CONCATENATE("http://garwiki.regn.net/mediawiki/index.php/Scorecard_Rule_",MID(A15,FIND(":",A15)+1,9)),"?")</f>
        <v>?</v>
      </c>
      <c r="I15" s="105"/>
      <c r="J15" s="106" t="s">
        <v>144</v>
      </c>
      <c r="K15" s="105"/>
      <c r="L15" s="106" t="s">
        <v>144</v>
      </c>
      <c r="M15" s="62"/>
      <c r="N15" s="62"/>
      <c r="O15" s="105"/>
      <c r="P15" s="106" t="s">
        <v>144</v>
      </c>
      <c r="Q15" s="105"/>
      <c r="R15" s="106" t="s">
        <v>144</v>
      </c>
      <c r="S15" s="105"/>
      <c r="T15" s="106" t="s">
        <v>144</v>
      </c>
      <c r="U15" s="105"/>
      <c r="V15" s="106" t="s">
        <v>144</v>
      </c>
      <c r="W15" s="106"/>
      <c r="X15" s="106"/>
      <c r="Y15" s="106"/>
      <c r="Z15" s="106"/>
      <c r="AA15" s="106"/>
      <c r="AB15" s="106"/>
      <c r="AC15" s="106"/>
      <c r="AD15" s="106"/>
    </row>
  </sheetData>
  <sheetProtection formatColumns="0" formatRows="0"/>
  <mergeCells count="17">
    <mergeCell ref="D1:G1"/>
    <mergeCell ref="D5:G5"/>
    <mergeCell ref="I2:J2"/>
    <mergeCell ref="O2:P2"/>
    <mergeCell ref="Q2:R2"/>
    <mergeCell ref="M2:N2"/>
    <mergeCell ref="K2:L2"/>
    <mergeCell ref="B2:D2"/>
    <mergeCell ref="B6:D6"/>
    <mergeCell ref="B12:D12"/>
    <mergeCell ref="D11:G11"/>
    <mergeCell ref="W2:X2"/>
    <mergeCell ref="AC2:AD2"/>
    <mergeCell ref="U2:V2"/>
    <mergeCell ref="S2:T2"/>
    <mergeCell ref="AA2:AB2"/>
    <mergeCell ref="Y2:Z2"/>
  </mergeCells>
  <phoneticPr fontId="2" type="noConversion"/>
  <conditionalFormatting sqref="E2:E15">
    <cfRule type="cellIs" dxfId="178" priority="1" operator="equal">
      <formula>"N/A"</formula>
    </cfRule>
    <cfRule type="cellIs" dxfId="177" priority="56" stopIfTrue="1" operator="equal">
      <formula>"Yes-N/A"</formula>
    </cfRule>
    <cfRule type="cellIs" dxfId="176" priority="57" stopIfTrue="1" operator="equal">
      <formula>"P-WVR"</formula>
    </cfRule>
    <cfRule type="cellIs" dxfId="175" priority="58" stopIfTrue="1" operator="equal">
      <formula>"No"</formula>
    </cfRule>
    <cfRule type="cellIs" dxfId="174" priority="59" stopIfTrue="1" operator="equal">
      <formula>"Yes"</formula>
    </cfRule>
    <cfRule type="cellIs" dxfId="173" priority="60" stopIfTrue="1" operator="equal">
      <formula>"WVR"</formula>
    </cfRule>
    <cfRule type="cellIs" dxfId="172" priority="61" stopIfTrue="1" operator="equal">
      <formula>"T-WVR"</formula>
    </cfRule>
    <cfRule type="cellIs" dxfId="171" priority="62" stopIfTrue="1" operator="equal">
      <formula>"R"</formula>
    </cfRule>
    <cfRule type="cellIs" dxfId="170" priority="63" stopIfTrue="1" operator="equal">
      <formula>"Y"</formula>
    </cfRule>
    <cfRule type="cellIs" dxfId="169" priority="64" stopIfTrue="1" operator="equal">
      <formula>"G"</formula>
    </cfRule>
  </conditionalFormatting>
  <dataValidations count="4">
    <dataValidation type="list" allowBlank="1" showInputMessage="1" showErrorMessage="1" sqref="E13:E15 E7:E10">
      <formula1>ValidValues</formula1>
    </dataValidation>
    <dataValidation type="list" allowBlank="1" showInputMessage="1" showErrorMessage="1" sqref="E6 E12">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15">
      <formula1>1</formula1>
      <formula2>10000</formula2>
    </dataValidation>
  </dataValidations>
  <pageMargins left="0.7" right="0.7" top="0.75" bottom="0.75" header="0.3" footer="0.3"/>
  <pageSetup scale="97" fitToHeight="100" orientation="landscape" r:id="rId1"/>
  <headerFooter>
    <oddHeader>&amp;L&amp;F&amp;C&amp;A&amp;R&amp;D</oddHeader>
    <oddFooter>&amp;C&amp;P of &amp;N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autoPageBreaks="0" fitToPage="1"/>
  </sheetPr>
  <dimension ref="A1:AD21"/>
  <sheetViews>
    <sheetView zoomScaleNormal="100" workbookViewId="0">
      <pane ySplit="4" topLeftCell="A5" activePane="bottomLeft" state="frozenSplit"/>
      <selection pane="bottomLeft" activeCell="E7" sqref="E7"/>
    </sheetView>
  </sheetViews>
  <sheetFormatPr defaultRowHeight="12.5" x14ac:dyDescent="0.25"/>
  <cols>
    <col min="1" max="1" width="1.81640625" customWidth="1"/>
    <col min="2" max="2" width="5.7265625" customWidth="1"/>
    <col min="3" max="3" width="9.1796875" customWidth="1"/>
    <col min="4" max="4" width="54.453125" customWidth="1"/>
    <col min="5" max="5" width="8" customWidth="1"/>
    <col min="6" max="6" width="41.54296875" customWidth="1"/>
    <col min="7" max="7" width="9.453125" customWidth="1"/>
    <col min="8" max="8" width="2" bestFit="1" customWidth="1"/>
    <col min="9" max="12" width="3.81640625" customWidth="1"/>
    <col min="13" max="13" width="3.7265625" customWidth="1"/>
    <col min="14" max="30" width="3.81640625" customWidth="1"/>
  </cols>
  <sheetData>
    <row r="1" spans="1:30" ht="18" x14ac:dyDescent="0.25">
      <c r="A1" s="212" t="s">
        <v>556</v>
      </c>
      <c r="B1" s="372" t="s">
        <v>143</v>
      </c>
      <c r="C1" s="371">
        <v>5</v>
      </c>
      <c r="D1" s="580" t="s">
        <v>92</v>
      </c>
      <c r="E1" s="581"/>
      <c r="F1" s="581"/>
      <c r="G1" s="582"/>
      <c r="H1" s="287" t="str">
        <f>HYPERLINK(CONCATENATE("http://garwiki.regn.net/mediawiki/index.php/",SUBSTITUTE(D1," ","_"),"_(principle)"),"?")</f>
        <v>?</v>
      </c>
      <c r="I1" s="134" t="s">
        <v>414</v>
      </c>
      <c r="J1" s="134" t="s">
        <v>415</v>
      </c>
      <c r="K1" s="134" t="s">
        <v>414</v>
      </c>
      <c r="L1" s="134" t="s">
        <v>415</v>
      </c>
      <c r="M1" s="134" t="s">
        <v>414</v>
      </c>
      <c r="N1" s="134" t="s">
        <v>415</v>
      </c>
      <c r="O1" s="134" t="s">
        <v>414</v>
      </c>
      <c r="P1" s="134" t="s">
        <v>415</v>
      </c>
      <c r="Q1" s="134" t="s">
        <v>414</v>
      </c>
      <c r="R1" s="134" t="s">
        <v>415</v>
      </c>
      <c r="S1" s="134" t="s">
        <v>414</v>
      </c>
      <c r="T1" s="134" t="s">
        <v>415</v>
      </c>
      <c r="U1" s="134" t="s">
        <v>414</v>
      </c>
      <c r="V1" s="134" t="s">
        <v>415</v>
      </c>
      <c r="W1" s="134" t="s">
        <v>414</v>
      </c>
      <c r="X1" s="134" t="s">
        <v>415</v>
      </c>
      <c r="Y1" s="134" t="s">
        <v>414</v>
      </c>
      <c r="Z1" s="134" t="s">
        <v>415</v>
      </c>
      <c r="AA1" s="134" t="s">
        <v>414</v>
      </c>
      <c r="AB1" s="134" t="s">
        <v>415</v>
      </c>
      <c r="AC1" s="134" t="s">
        <v>414</v>
      </c>
      <c r="AD1" s="134" t="s">
        <v>415</v>
      </c>
    </row>
    <row r="2" spans="1:30" ht="36" customHeight="1" x14ac:dyDescent="0.25">
      <c r="A2" s="212"/>
      <c r="B2" s="596" t="s">
        <v>1207</v>
      </c>
      <c r="C2" s="597"/>
      <c r="D2" s="571"/>
      <c r="E2" s="179"/>
      <c r="F2" s="303" t="s">
        <v>31</v>
      </c>
      <c r="G2" s="270"/>
      <c r="H2" s="142"/>
      <c r="I2" s="579" t="s">
        <v>883</v>
      </c>
      <c r="J2" s="579"/>
      <c r="K2" s="579" t="s">
        <v>882</v>
      </c>
      <c r="L2" s="579"/>
      <c r="M2" s="579" t="s">
        <v>416</v>
      </c>
      <c r="N2" s="579"/>
      <c r="O2" s="579" t="s">
        <v>312</v>
      </c>
      <c r="P2" s="579"/>
      <c r="Q2" s="579" t="s">
        <v>313</v>
      </c>
      <c r="R2" s="579"/>
      <c r="S2" s="579" t="s">
        <v>311</v>
      </c>
      <c r="T2" s="579"/>
      <c r="U2" s="579" t="s">
        <v>314</v>
      </c>
      <c r="V2" s="579"/>
      <c r="W2" s="583" t="s">
        <v>565</v>
      </c>
      <c r="X2" s="584"/>
      <c r="Y2" s="583" t="s">
        <v>887</v>
      </c>
      <c r="Z2" s="584"/>
      <c r="AA2" s="583" t="s">
        <v>888</v>
      </c>
      <c r="AB2" s="584"/>
      <c r="AC2" s="583" t="s">
        <v>889</v>
      </c>
      <c r="AD2" s="584"/>
    </row>
    <row r="3" spans="1:30" ht="13" thickBot="1" x14ac:dyDescent="0.3">
      <c r="A3" s="212"/>
      <c r="C3" s="3"/>
      <c r="E3" s="75"/>
      <c r="F3" s="87"/>
      <c r="H3" s="142"/>
      <c r="I3" s="33"/>
      <c r="J3" s="33"/>
      <c r="K3" s="33"/>
      <c r="L3" s="33"/>
      <c r="M3" s="47"/>
      <c r="N3" s="47"/>
      <c r="O3" s="33"/>
      <c r="P3" s="33"/>
      <c r="Q3" s="33"/>
      <c r="R3" s="33"/>
      <c r="S3" s="33"/>
      <c r="T3" s="33"/>
      <c r="U3" s="33"/>
      <c r="V3" s="33"/>
      <c r="W3" s="33"/>
      <c r="X3" s="33"/>
      <c r="Y3" s="33"/>
      <c r="Z3" s="33"/>
      <c r="AA3" s="33"/>
      <c r="AB3" s="33"/>
      <c r="AC3" s="33"/>
      <c r="AD3" s="33"/>
    </row>
    <row r="4" spans="1:30" ht="26" x14ac:dyDescent="0.25">
      <c r="A4" s="212"/>
      <c r="B4" s="25" t="s">
        <v>50</v>
      </c>
      <c r="C4" s="26" t="s">
        <v>51</v>
      </c>
      <c r="D4" s="26" t="s">
        <v>35</v>
      </c>
      <c r="E4" s="44" t="s">
        <v>24</v>
      </c>
      <c r="F4" s="88" t="s">
        <v>36</v>
      </c>
      <c r="G4" s="248" t="s">
        <v>656</v>
      </c>
      <c r="H4" s="142"/>
      <c r="I4" s="111" t="s">
        <v>144</v>
      </c>
      <c r="J4" s="111" t="s">
        <v>144</v>
      </c>
      <c r="K4" s="111" t="s">
        <v>144</v>
      </c>
      <c r="L4" s="111" t="s">
        <v>144</v>
      </c>
      <c r="M4" s="111" t="s">
        <v>144</v>
      </c>
      <c r="N4" s="111" t="s">
        <v>144</v>
      </c>
      <c r="O4" s="111" t="s">
        <v>144</v>
      </c>
      <c r="P4" s="111" t="s">
        <v>144</v>
      </c>
      <c r="Q4" s="111" t="s">
        <v>144</v>
      </c>
      <c r="R4" s="111" t="s">
        <v>144</v>
      </c>
      <c r="S4" s="111" t="s">
        <v>144</v>
      </c>
      <c r="T4" s="111" t="s">
        <v>144</v>
      </c>
      <c r="U4" s="111" t="s">
        <v>144</v>
      </c>
      <c r="V4" s="111" t="s">
        <v>144</v>
      </c>
      <c r="W4" s="111" t="s">
        <v>144</v>
      </c>
      <c r="X4" s="111" t="s">
        <v>144</v>
      </c>
      <c r="Y4" s="111" t="s">
        <v>144</v>
      </c>
      <c r="Z4" s="111" t="s">
        <v>144</v>
      </c>
      <c r="AA4" s="111" t="s">
        <v>144</v>
      </c>
      <c r="AB4" s="111" t="s">
        <v>144</v>
      </c>
      <c r="AC4" s="111" t="s">
        <v>144</v>
      </c>
      <c r="AD4" s="111" t="s">
        <v>144</v>
      </c>
    </row>
    <row r="5" spans="1:30" ht="13" x14ac:dyDescent="0.25">
      <c r="A5" s="212" t="s">
        <v>511</v>
      </c>
      <c r="B5" s="132" t="s">
        <v>143</v>
      </c>
      <c r="C5" s="131" t="s">
        <v>181</v>
      </c>
      <c r="D5" s="574" t="s">
        <v>1191</v>
      </c>
      <c r="E5" s="575"/>
      <c r="F5" s="575"/>
      <c r="G5" s="595"/>
      <c r="H5" s="287" t="str">
        <f>HYPERLINK(CONCATENATE("http://garwiki.regn.net/mediawiki/index.php/",SUBSTITUTE(D5," ","_"),"_(golden_rule)"),"?")</f>
        <v>?</v>
      </c>
      <c r="I5" s="133" t="str">
        <f>I6</f>
        <v/>
      </c>
      <c r="J5" s="133" t="str">
        <f t="shared" ref="J5:AD5" si="0">J6</f>
        <v>x</v>
      </c>
      <c r="K5" s="133" t="str">
        <f>K6</f>
        <v/>
      </c>
      <c r="L5" s="133" t="str">
        <f t="shared" si="0"/>
        <v>x</v>
      </c>
      <c r="M5" s="133" t="str">
        <f t="shared" si="0"/>
        <v/>
      </c>
      <c r="N5" s="133" t="str">
        <f t="shared" si="0"/>
        <v>x</v>
      </c>
      <c r="O5" s="133" t="str">
        <f t="shared" si="0"/>
        <v/>
      </c>
      <c r="P5" s="133" t="str">
        <f t="shared" si="0"/>
        <v>x</v>
      </c>
      <c r="Q5" s="133" t="str">
        <f t="shared" si="0"/>
        <v/>
      </c>
      <c r="R5" s="133" t="str">
        <f t="shared" si="0"/>
        <v>x</v>
      </c>
      <c r="S5" s="133" t="str">
        <f t="shared" si="0"/>
        <v/>
      </c>
      <c r="T5" s="133" t="str">
        <f t="shared" si="0"/>
        <v>x</v>
      </c>
      <c r="U5" s="133" t="str">
        <f t="shared" si="0"/>
        <v/>
      </c>
      <c r="V5" s="133" t="str">
        <f t="shared" si="0"/>
        <v>x</v>
      </c>
      <c r="W5" s="133" t="str">
        <f t="shared" si="0"/>
        <v/>
      </c>
      <c r="X5" s="133" t="str">
        <f t="shared" si="0"/>
        <v/>
      </c>
      <c r="Y5" s="133" t="str">
        <f t="shared" si="0"/>
        <v/>
      </c>
      <c r="Z5" s="133" t="str">
        <f t="shared" si="0"/>
        <v/>
      </c>
      <c r="AA5" s="133" t="str">
        <f t="shared" si="0"/>
        <v/>
      </c>
      <c r="AB5" s="133" t="str">
        <f t="shared" si="0"/>
        <v/>
      </c>
      <c r="AC5" s="133" t="str">
        <f t="shared" si="0"/>
        <v/>
      </c>
      <c r="AD5" s="133" t="str">
        <f t="shared" si="0"/>
        <v/>
      </c>
    </row>
    <row r="6" spans="1:30" ht="25.5" customHeight="1" x14ac:dyDescent="0.25">
      <c r="A6" s="212"/>
      <c r="B6" s="598" t="s">
        <v>1191</v>
      </c>
      <c r="C6" s="599"/>
      <c r="D6" s="600"/>
      <c r="E6" s="179"/>
      <c r="F6" s="299" t="s">
        <v>31</v>
      </c>
      <c r="G6" s="154"/>
      <c r="H6" s="142"/>
      <c r="I6" s="38" t="str">
        <f>IF(COUNTIF(I7:I8,"x")=0,"","x")</f>
        <v/>
      </c>
      <c r="J6" s="38" t="str">
        <f t="shared" ref="J6:AD6" si="1">IF(COUNTIF(J7:J8,"x")=0,"","x")</f>
        <v>x</v>
      </c>
      <c r="K6" s="38" t="str">
        <f>IF(COUNTIF(K7:K8,"x")=0,"","x")</f>
        <v/>
      </c>
      <c r="L6" s="38" t="str">
        <f t="shared" ref="L6:N6" si="2">IF(COUNTIF(L7:L8,"x")=0,"","x")</f>
        <v>x</v>
      </c>
      <c r="M6" s="38" t="str">
        <f t="shared" si="1"/>
        <v/>
      </c>
      <c r="N6" s="38" t="str">
        <f t="shared" si="2"/>
        <v>x</v>
      </c>
      <c r="O6" s="38" t="str">
        <f t="shared" si="1"/>
        <v/>
      </c>
      <c r="P6" s="38" t="str">
        <f t="shared" si="1"/>
        <v>x</v>
      </c>
      <c r="Q6" s="38" t="str">
        <f t="shared" si="1"/>
        <v/>
      </c>
      <c r="R6" s="38" t="str">
        <f t="shared" si="1"/>
        <v>x</v>
      </c>
      <c r="S6" s="38" t="str">
        <f t="shared" si="1"/>
        <v/>
      </c>
      <c r="T6" s="38" t="str">
        <f t="shared" si="1"/>
        <v>x</v>
      </c>
      <c r="U6" s="38" t="str">
        <f t="shared" si="1"/>
        <v/>
      </c>
      <c r="V6" s="38" t="str">
        <f t="shared" si="1"/>
        <v>x</v>
      </c>
      <c r="W6" s="38" t="str">
        <f t="shared" si="1"/>
        <v/>
      </c>
      <c r="X6" s="38" t="str">
        <f t="shared" si="1"/>
        <v/>
      </c>
      <c r="Y6" s="38" t="str">
        <f t="shared" si="1"/>
        <v/>
      </c>
      <c r="Z6" s="38" t="str">
        <f t="shared" si="1"/>
        <v/>
      </c>
      <c r="AA6" s="38" t="str">
        <f t="shared" ref="AA6:AB6" si="3">IF(COUNTIF(AA7:AA8,"x")=0,"","x")</f>
        <v/>
      </c>
      <c r="AB6" s="38" t="str">
        <f t="shared" si="3"/>
        <v/>
      </c>
      <c r="AC6" s="38" t="str">
        <f t="shared" si="1"/>
        <v/>
      </c>
      <c r="AD6" s="38" t="str">
        <f t="shared" si="1"/>
        <v/>
      </c>
    </row>
    <row r="7" spans="1:30" ht="25" x14ac:dyDescent="0.25">
      <c r="A7" s="212" t="s">
        <v>512</v>
      </c>
      <c r="B7" s="39" t="s">
        <v>52</v>
      </c>
      <c r="C7" s="373" t="s">
        <v>15</v>
      </c>
      <c r="D7" s="32" t="s">
        <v>998</v>
      </c>
      <c r="E7" s="144"/>
      <c r="F7" s="300"/>
      <c r="G7" s="155"/>
      <c r="H7" s="287" t="str">
        <f>HYPERLINK(CONCATENATE("http://garwiki.regn.net/mediawiki/index.php/Scorecard_Rule_",MID(A7,FIND(":",A7)+1,9)),"?")</f>
        <v>?</v>
      </c>
      <c r="I7" s="38"/>
      <c r="J7" s="33" t="s">
        <v>144</v>
      </c>
      <c r="K7" s="38"/>
      <c r="L7" s="33" t="s">
        <v>144</v>
      </c>
      <c r="M7" s="47"/>
      <c r="N7" s="43" t="s">
        <v>144</v>
      </c>
      <c r="O7" s="38"/>
      <c r="P7" s="33" t="s">
        <v>144</v>
      </c>
      <c r="Q7" s="38"/>
      <c r="R7" s="33" t="s">
        <v>144</v>
      </c>
      <c r="S7" s="38"/>
      <c r="T7" s="33" t="s">
        <v>144</v>
      </c>
      <c r="U7" s="38"/>
      <c r="V7" s="33" t="s">
        <v>144</v>
      </c>
      <c r="W7" s="33"/>
      <c r="X7" s="33"/>
      <c r="Y7" s="33"/>
      <c r="Z7" s="33"/>
      <c r="AA7" s="33"/>
      <c r="AB7" s="33"/>
      <c r="AC7" s="33"/>
      <c r="AD7" s="33"/>
    </row>
    <row r="8" spans="1:30" ht="50" x14ac:dyDescent="0.25">
      <c r="A8" s="212" t="s">
        <v>513</v>
      </c>
      <c r="B8" s="39" t="s">
        <v>52</v>
      </c>
      <c r="C8" s="373" t="s">
        <v>16</v>
      </c>
      <c r="D8" s="32" t="s">
        <v>999</v>
      </c>
      <c r="E8" s="144"/>
      <c r="F8" s="300"/>
      <c r="G8" s="155"/>
      <c r="H8" s="287" t="str">
        <f>HYPERLINK(CONCATENATE("http://garwiki.regn.net/mediawiki/index.php/Scorecard_Rule_",MID(A8,FIND(":",A8)+1,9)),"?")</f>
        <v>?</v>
      </c>
      <c r="I8" s="38"/>
      <c r="J8" s="33" t="s">
        <v>144</v>
      </c>
      <c r="K8" s="38"/>
      <c r="L8" s="33" t="s">
        <v>144</v>
      </c>
      <c r="M8" s="47"/>
      <c r="N8" s="43"/>
      <c r="O8" s="38"/>
      <c r="P8" s="33" t="s">
        <v>144</v>
      </c>
      <c r="Q8" s="38"/>
      <c r="R8" s="33" t="s">
        <v>144</v>
      </c>
      <c r="S8" s="38"/>
      <c r="T8" s="33" t="s">
        <v>144</v>
      </c>
      <c r="U8" s="38"/>
      <c r="V8" s="33" t="s">
        <v>144</v>
      </c>
      <c r="W8" s="33"/>
      <c r="X8" s="33"/>
      <c r="Y8" s="33"/>
      <c r="Z8" s="33"/>
      <c r="AA8" s="33"/>
      <c r="AB8" s="33"/>
      <c r="AC8" s="33"/>
      <c r="AD8" s="33"/>
    </row>
    <row r="9" spans="1:30" ht="13" x14ac:dyDescent="0.25">
      <c r="A9" s="212" t="s">
        <v>514</v>
      </c>
      <c r="B9" s="132" t="s">
        <v>143</v>
      </c>
      <c r="C9" s="131" t="s">
        <v>183</v>
      </c>
      <c r="D9" s="574" t="s">
        <v>1192</v>
      </c>
      <c r="E9" s="575"/>
      <c r="F9" s="575"/>
      <c r="G9" s="595"/>
      <c r="H9" s="287" t="str">
        <f>HYPERLINK(CONCATENATE("http://garwiki.regn.net/mediawiki/index.php/",SUBSTITUTE(D9," ","_"),"_(golden_rule)"),"?")</f>
        <v>?</v>
      </c>
      <c r="I9" s="133" t="str">
        <f>I10</f>
        <v/>
      </c>
      <c r="J9" s="133" t="str">
        <f t="shared" ref="J9:AD9" si="4">J10</f>
        <v>x</v>
      </c>
      <c r="K9" s="133" t="str">
        <f>K10</f>
        <v/>
      </c>
      <c r="L9" s="133" t="str">
        <f t="shared" si="4"/>
        <v>x</v>
      </c>
      <c r="M9" s="133" t="str">
        <f t="shared" si="4"/>
        <v/>
      </c>
      <c r="N9" s="133" t="str">
        <f t="shared" si="4"/>
        <v/>
      </c>
      <c r="O9" s="133" t="str">
        <f t="shared" si="4"/>
        <v/>
      </c>
      <c r="P9" s="133" t="str">
        <f t="shared" si="4"/>
        <v>x</v>
      </c>
      <c r="Q9" s="133" t="str">
        <f t="shared" si="4"/>
        <v/>
      </c>
      <c r="R9" s="133" t="str">
        <f t="shared" si="4"/>
        <v>x</v>
      </c>
      <c r="S9" s="133" t="str">
        <f t="shared" si="4"/>
        <v/>
      </c>
      <c r="T9" s="133" t="str">
        <f t="shared" si="4"/>
        <v>x</v>
      </c>
      <c r="U9" s="133" t="str">
        <f t="shared" si="4"/>
        <v/>
      </c>
      <c r="V9" s="133" t="str">
        <f t="shared" si="4"/>
        <v>x</v>
      </c>
      <c r="W9" s="133" t="str">
        <f t="shared" si="4"/>
        <v/>
      </c>
      <c r="X9" s="133" t="str">
        <f t="shared" si="4"/>
        <v/>
      </c>
      <c r="Y9" s="133" t="str">
        <f t="shared" si="4"/>
        <v/>
      </c>
      <c r="Z9" s="133" t="str">
        <f t="shared" si="4"/>
        <v/>
      </c>
      <c r="AA9" s="133" t="str">
        <f t="shared" si="4"/>
        <v/>
      </c>
      <c r="AB9" s="133" t="str">
        <f t="shared" si="4"/>
        <v/>
      </c>
      <c r="AC9" s="133" t="str">
        <f t="shared" si="4"/>
        <v/>
      </c>
      <c r="AD9" s="133" t="str">
        <f t="shared" si="4"/>
        <v/>
      </c>
    </row>
    <row r="10" spans="1:30" ht="25.5" customHeight="1" x14ac:dyDescent="0.25">
      <c r="A10" s="212"/>
      <c r="B10" s="569" t="s">
        <v>1192</v>
      </c>
      <c r="C10" s="572"/>
      <c r="D10" s="573"/>
      <c r="E10" s="179"/>
      <c r="F10" s="299" t="s">
        <v>31</v>
      </c>
      <c r="G10" s="154"/>
      <c r="H10" s="287"/>
      <c r="I10" s="38" t="str">
        <f>IF(COUNTIF(I11:I12,"x")=0,"","x")</f>
        <v/>
      </c>
      <c r="J10" s="38" t="str">
        <f t="shared" ref="J10:AD10" si="5">IF(COUNTIF(J11:J12,"x")=0,"","x")</f>
        <v>x</v>
      </c>
      <c r="K10" s="38" t="str">
        <f>IF(COUNTIF(K11:K12,"x")=0,"","x")</f>
        <v/>
      </c>
      <c r="L10" s="38" t="str">
        <f t="shared" ref="L10" si="6">IF(COUNTIF(L11:L12,"x")=0,"","x")</f>
        <v>x</v>
      </c>
      <c r="M10" s="38" t="str">
        <f t="shared" si="5"/>
        <v/>
      </c>
      <c r="N10" s="38" t="str">
        <f t="shared" si="5"/>
        <v/>
      </c>
      <c r="O10" s="38" t="str">
        <f t="shared" si="5"/>
        <v/>
      </c>
      <c r="P10" s="38" t="str">
        <f t="shared" si="5"/>
        <v>x</v>
      </c>
      <c r="Q10" s="38" t="str">
        <f t="shared" si="5"/>
        <v/>
      </c>
      <c r="R10" s="38" t="str">
        <f t="shared" si="5"/>
        <v>x</v>
      </c>
      <c r="S10" s="38" t="str">
        <f t="shared" si="5"/>
        <v/>
      </c>
      <c r="T10" s="38" t="str">
        <f t="shared" si="5"/>
        <v>x</v>
      </c>
      <c r="U10" s="38" t="str">
        <f t="shared" si="5"/>
        <v/>
      </c>
      <c r="V10" s="38" t="str">
        <f t="shared" si="5"/>
        <v>x</v>
      </c>
      <c r="W10" s="38" t="str">
        <f t="shared" si="5"/>
        <v/>
      </c>
      <c r="X10" s="38" t="str">
        <f t="shared" si="5"/>
        <v/>
      </c>
      <c r="Y10" s="38" t="str">
        <f t="shared" si="5"/>
        <v/>
      </c>
      <c r="Z10" s="38" t="str">
        <f t="shared" si="5"/>
        <v/>
      </c>
      <c r="AA10" s="38" t="str">
        <f t="shared" ref="AA10:AB10" si="7">IF(COUNTIF(AA11:AA12,"x")=0,"","x")</f>
        <v/>
      </c>
      <c r="AB10" s="38" t="str">
        <f t="shared" si="7"/>
        <v/>
      </c>
      <c r="AC10" s="38" t="str">
        <f t="shared" si="5"/>
        <v/>
      </c>
      <c r="AD10" s="38" t="str">
        <f t="shared" si="5"/>
        <v/>
      </c>
    </row>
    <row r="11" spans="1:30" ht="37.5" x14ac:dyDescent="0.25">
      <c r="A11" s="212" t="s">
        <v>516</v>
      </c>
      <c r="B11" s="39" t="s">
        <v>52</v>
      </c>
      <c r="C11" s="373" t="s">
        <v>17</v>
      </c>
      <c r="D11" s="5" t="s">
        <v>1000</v>
      </c>
      <c r="E11" s="144"/>
      <c r="F11" s="301"/>
      <c r="G11" s="155"/>
      <c r="H11" s="287" t="str">
        <f>HYPERLINK(CONCATENATE("http://garwiki.regn.net/mediawiki/index.php/Scorecard_Rule_",MID(A11,FIND(":",A11)+1,9)),"?")</f>
        <v>?</v>
      </c>
      <c r="I11" s="38"/>
      <c r="J11" s="33" t="s">
        <v>144</v>
      </c>
      <c r="K11" s="38"/>
      <c r="L11" s="33" t="s">
        <v>144</v>
      </c>
      <c r="M11" s="47"/>
      <c r="N11" s="47"/>
      <c r="O11" s="38"/>
      <c r="P11" s="33" t="s">
        <v>144</v>
      </c>
      <c r="Q11" s="38"/>
      <c r="R11" s="33" t="s">
        <v>144</v>
      </c>
      <c r="S11" s="38"/>
      <c r="T11" s="33" t="s">
        <v>144</v>
      </c>
      <c r="U11" s="38"/>
      <c r="V11" s="33" t="s">
        <v>144</v>
      </c>
      <c r="W11" s="33"/>
      <c r="X11" s="33"/>
      <c r="Y11" s="33"/>
      <c r="Z11" s="33"/>
      <c r="AA11" s="33"/>
      <c r="AB11" s="33"/>
      <c r="AC11" s="33"/>
      <c r="AD11" s="33"/>
    </row>
    <row r="12" spans="1:30" ht="25" x14ac:dyDescent="0.25">
      <c r="A12" s="212" t="s">
        <v>515</v>
      </c>
      <c r="B12" s="49" t="s">
        <v>52</v>
      </c>
      <c r="C12" s="373" t="s">
        <v>19</v>
      </c>
      <c r="D12" s="5" t="s">
        <v>1001</v>
      </c>
      <c r="E12" s="144"/>
      <c r="F12" s="301"/>
      <c r="G12" s="155"/>
      <c r="H12" s="287" t="str">
        <f>HYPERLINK(CONCATENATE("http://garwiki.regn.net/mediawiki/index.php/Scorecard_Rule_",MID(A12,FIND(":",A12)+1,9)),"?")</f>
        <v>?</v>
      </c>
      <c r="I12" s="38"/>
      <c r="J12" s="33" t="s">
        <v>144</v>
      </c>
      <c r="K12" s="38"/>
      <c r="L12" s="33" t="s">
        <v>144</v>
      </c>
      <c r="M12" s="47"/>
      <c r="N12" s="47"/>
      <c r="O12" s="38"/>
      <c r="P12" s="33" t="s">
        <v>144</v>
      </c>
      <c r="Q12" s="38"/>
      <c r="R12" s="33" t="s">
        <v>144</v>
      </c>
      <c r="S12" s="38"/>
      <c r="T12" s="33" t="s">
        <v>144</v>
      </c>
      <c r="U12" s="38"/>
      <c r="V12" s="33" t="s">
        <v>144</v>
      </c>
      <c r="W12" s="33"/>
      <c r="X12" s="33"/>
      <c r="Y12" s="33"/>
      <c r="Z12" s="33"/>
      <c r="AA12" s="33"/>
      <c r="AB12" s="33"/>
      <c r="AC12" s="33"/>
      <c r="AD12" s="33"/>
    </row>
    <row r="13" spans="1:30" ht="13" x14ac:dyDescent="0.25">
      <c r="A13" s="212" t="s">
        <v>517</v>
      </c>
      <c r="B13" s="132" t="s">
        <v>143</v>
      </c>
      <c r="C13" s="131" t="s">
        <v>177</v>
      </c>
      <c r="D13" s="574" t="s">
        <v>1193</v>
      </c>
      <c r="E13" s="575"/>
      <c r="F13" s="575"/>
      <c r="G13" s="595"/>
      <c r="H13" s="287" t="str">
        <f>HYPERLINK(CONCATENATE("http://garwiki.regn.net/mediawiki/index.php/",SUBSTITUTE(D13," ","_"),"_(golden_rule)"),"?")</f>
        <v>?</v>
      </c>
      <c r="I13" s="133" t="str">
        <f>I14</f>
        <v/>
      </c>
      <c r="J13" s="133" t="str">
        <f t="shared" ref="J13:AD13" si="8">J14</f>
        <v>x</v>
      </c>
      <c r="K13" s="133" t="str">
        <f>K14</f>
        <v/>
      </c>
      <c r="L13" s="133" t="str">
        <f t="shared" si="8"/>
        <v>x</v>
      </c>
      <c r="M13" s="133" t="str">
        <f t="shared" si="8"/>
        <v/>
      </c>
      <c r="N13" s="133" t="str">
        <f t="shared" si="8"/>
        <v/>
      </c>
      <c r="O13" s="133" t="str">
        <f t="shared" si="8"/>
        <v/>
      </c>
      <c r="P13" s="133" t="str">
        <f t="shared" si="8"/>
        <v>x</v>
      </c>
      <c r="Q13" s="133" t="str">
        <f t="shared" si="8"/>
        <v/>
      </c>
      <c r="R13" s="133" t="str">
        <f t="shared" si="8"/>
        <v>x</v>
      </c>
      <c r="S13" s="133" t="str">
        <f t="shared" si="8"/>
        <v/>
      </c>
      <c r="T13" s="133" t="str">
        <f t="shared" si="8"/>
        <v>x</v>
      </c>
      <c r="U13" s="133" t="str">
        <f t="shared" si="8"/>
        <v/>
      </c>
      <c r="V13" s="133" t="str">
        <f t="shared" si="8"/>
        <v>x</v>
      </c>
      <c r="W13" s="133" t="str">
        <f t="shared" si="8"/>
        <v/>
      </c>
      <c r="X13" s="133" t="str">
        <f t="shared" si="8"/>
        <v/>
      </c>
      <c r="Y13" s="133" t="str">
        <f t="shared" si="8"/>
        <v/>
      </c>
      <c r="Z13" s="133" t="str">
        <f t="shared" si="8"/>
        <v/>
      </c>
      <c r="AA13" s="133" t="str">
        <f t="shared" si="8"/>
        <v/>
      </c>
      <c r="AB13" s="133" t="str">
        <f t="shared" si="8"/>
        <v/>
      </c>
      <c r="AC13" s="133" t="str">
        <f t="shared" si="8"/>
        <v/>
      </c>
      <c r="AD13" s="133" t="str">
        <f t="shared" si="8"/>
        <v/>
      </c>
    </row>
    <row r="14" spans="1:30" ht="25.5" customHeight="1" x14ac:dyDescent="0.25">
      <c r="A14" s="212"/>
      <c r="B14" s="569" t="s">
        <v>1193</v>
      </c>
      <c r="C14" s="572"/>
      <c r="D14" s="573"/>
      <c r="E14" s="179"/>
      <c r="F14" s="299" t="s">
        <v>31</v>
      </c>
      <c r="G14" s="154"/>
      <c r="H14" s="287"/>
      <c r="I14" s="33" t="str">
        <f t="shared" ref="I14:AD14" si="9">IF(COUNTIF(I15:I17,"x")=0,"","x")</f>
        <v/>
      </c>
      <c r="J14" s="33" t="str">
        <f t="shared" si="9"/>
        <v>x</v>
      </c>
      <c r="K14" s="33" t="str">
        <f t="shared" si="9"/>
        <v/>
      </c>
      <c r="L14" s="33" t="str">
        <f t="shared" si="9"/>
        <v>x</v>
      </c>
      <c r="M14" s="33" t="str">
        <f t="shared" si="9"/>
        <v/>
      </c>
      <c r="N14" s="33" t="str">
        <f t="shared" si="9"/>
        <v/>
      </c>
      <c r="O14" s="33" t="str">
        <f t="shared" si="9"/>
        <v/>
      </c>
      <c r="P14" s="33" t="str">
        <f t="shared" si="9"/>
        <v>x</v>
      </c>
      <c r="Q14" s="33" t="str">
        <f t="shared" si="9"/>
        <v/>
      </c>
      <c r="R14" s="33" t="str">
        <f t="shared" si="9"/>
        <v>x</v>
      </c>
      <c r="S14" s="33" t="str">
        <f t="shared" si="9"/>
        <v/>
      </c>
      <c r="T14" s="33" t="str">
        <f t="shared" si="9"/>
        <v>x</v>
      </c>
      <c r="U14" s="33" t="str">
        <f t="shared" si="9"/>
        <v/>
      </c>
      <c r="V14" s="33" t="str">
        <f t="shared" si="9"/>
        <v>x</v>
      </c>
      <c r="W14" s="33" t="str">
        <f t="shared" si="9"/>
        <v/>
      </c>
      <c r="X14" s="33" t="str">
        <f t="shared" si="9"/>
        <v/>
      </c>
      <c r="Y14" s="33" t="str">
        <f t="shared" si="9"/>
        <v/>
      </c>
      <c r="Z14" s="33" t="str">
        <f t="shared" si="9"/>
        <v/>
      </c>
      <c r="AA14" s="33" t="str">
        <f t="shared" si="9"/>
        <v/>
      </c>
      <c r="AB14" s="33" t="str">
        <f t="shared" si="9"/>
        <v/>
      </c>
      <c r="AC14" s="33" t="str">
        <f t="shared" si="9"/>
        <v/>
      </c>
      <c r="AD14" s="33" t="str">
        <f t="shared" si="9"/>
        <v/>
      </c>
    </row>
    <row r="15" spans="1:30" ht="25" x14ac:dyDescent="0.25">
      <c r="A15" s="212" t="s">
        <v>518</v>
      </c>
      <c r="B15" s="49" t="s">
        <v>52</v>
      </c>
      <c r="C15" s="373" t="s">
        <v>456</v>
      </c>
      <c r="D15" s="5" t="s">
        <v>1002</v>
      </c>
      <c r="E15" s="144"/>
      <c r="F15" s="301"/>
      <c r="G15" s="155"/>
      <c r="H15" s="287" t="str">
        <f>HYPERLINK(CONCATENATE("http://garwiki.regn.net/mediawiki/index.php/Scorecard_Rule_",MID(A15,FIND(":",A15)+1,9)),"?")</f>
        <v>?</v>
      </c>
      <c r="I15" s="33"/>
      <c r="J15" s="33" t="s">
        <v>144</v>
      </c>
      <c r="K15" s="33"/>
      <c r="L15" s="33" t="s">
        <v>144</v>
      </c>
      <c r="M15" s="47"/>
      <c r="N15" s="47"/>
      <c r="O15" s="33"/>
      <c r="P15" s="33" t="s">
        <v>144</v>
      </c>
      <c r="Q15" s="33"/>
      <c r="R15" s="33" t="s">
        <v>144</v>
      </c>
      <c r="S15" s="33"/>
      <c r="T15" s="33" t="s">
        <v>144</v>
      </c>
      <c r="U15" s="33"/>
      <c r="V15" s="33" t="s">
        <v>144</v>
      </c>
      <c r="W15" s="33"/>
      <c r="X15" s="33"/>
      <c r="Y15" s="33"/>
      <c r="Z15" s="33"/>
      <c r="AA15" s="33"/>
      <c r="AB15" s="33"/>
      <c r="AC15" s="33"/>
      <c r="AD15" s="33"/>
    </row>
    <row r="16" spans="1:30" ht="37.5" x14ac:dyDescent="0.25">
      <c r="A16" s="212" t="s">
        <v>520</v>
      </c>
      <c r="B16" s="49" t="s">
        <v>52</v>
      </c>
      <c r="C16" s="373" t="s">
        <v>1273</v>
      </c>
      <c r="D16" s="410" t="s">
        <v>1003</v>
      </c>
      <c r="E16" s="351"/>
      <c r="F16" s="301"/>
      <c r="G16" s="155"/>
      <c r="H16" s="287" t="str">
        <f>HYPERLINK(CONCATENATE("http://garwiki.regn.net/mediawiki/index.php/Scorecard_Rule_",MID(A16,FIND(":",A16)+1,9)),"?")</f>
        <v>?</v>
      </c>
      <c r="I16" s="33"/>
      <c r="J16" s="33" t="s">
        <v>144</v>
      </c>
      <c r="K16" s="33"/>
      <c r="L16" s="33" t="s">
        <v>144</v>
      </c>
      <c r="M16" s="47"/>
      <c r="N16" s="47"/>
      <c r="O16" s="33"/>
      <c r="P16" s="33" t="s">
        <v>144</v>
      </c>
      <c r="Q16" s="33"/>
      <c r="R16" s="33" t="s">
        <v>144</v>
      </c>
      <c r="S16" s="33"/>
      <c r="T16" s="33" t="s">
        <v>144</v>
      </c>
      <c r="U16" s="33"/>
      <c r="V16" s="33" t="s">
        <v>144</v>
      </c>
      <c r="W16" s="33"/>
      <c r="X16" s="33"/>
      <c r="Y16" s="33"/>
      <c r="Z16" s="33"/>
      <c r="AA16" s="33"/>
      <c r="AB16" s="33"/>
      <c r="AC16" s="33"/>
      <c r="AD16" s="33"/>
    </row>
    <row r="17" spans="1:30" ht="25" x14ac:dyDescent="0.25">
      <c r="A17" s="212" t="s">
        <v>519</v>
      </c>
      <c r="B17" s="436" t="s">
        <v>52</v>
      </c>
      <c r="C17" s="373" t="s">
        <v>1274</v>
      </c>
      <c r="D17" s="437" t="s">
        <v>1004</v>
      </c>
      <c r="E17" s="438"/>
      <c r="F17" s="439"/>
      <c r="G17" s="440"/>
      <c r="H17" s="287" t="str">
        <f>HYPERLINK(CONCATENATE("http://garwiki.regn.net/mediawiki/index.php/Scorecard_Rule_",MID(A17,FIND(":",A17)+1,9)),"?")</f>
        <v>?</v>
      </c>
      <c r="I17" s="33"/>
      <c r="J17" s="33" t="s">
        <v>144</v>
      </c>
      <c r="K17" s="33"/>
      <c r="L17" s="33" t="s">
        <v>144</v>
      </c>
      <c r="M17" s="47"/>
      <c r="N17" s="47"/>
      <c r="O17" s="33"/>
      <c r="P17" s="33" t="s">
        <v>144</v>
      </c>
      <c r="Q17" s="33"/>
      <c r="R17" s="33" t="s">
        <v>144</v>
      </c>
      <c r="S17" s="33"/>
      <c r="T17" s="33" t="s">
        <v>144</v>
      </c>
      <c r="U17" s="33"/>
      <c r="V17" s="33" t="s">
        <v>144</v>
      </c>
      <c r="W17" s="33"/>
      <c r="X17" s="33"/>
      <c r="Y17" s="33"/>
      <c r="Z17" s="33"/>
      <c r="AA17" s="33"/>
      <c r="AB17" s="33"/>
      <c r="AC17" s="33"/>
      <c r="AD17" s="33"/>
    </row>
    <row r="18" spans="1:30" ht="13" x14ac:dyDescent="0.25">
      <c r="A18" s="212" t="s">
        <v>945</v>
      </c>
      <c r="B18" s="132" t="s">
        <v>143</v>
      </c>
      <c r="C18" s="131" t="s">
        <v>186</v>
      </c>
      <c r="D18" s="574" t="s">
        <v>1194</v>
      </c>
      <c r="E18" s="575"/>
      <c r="F18" s="575"/>
      <c r="G18" s="595"/>
      <c r="H18" s="287" t="str">
        <f>HYPERLINK(CONCATENATE("http://garwiki.regn.net/mediawiki/index.php/",SUBSTITUTE(D18," ","_"),"_(golden_rule)"),"?")</f>
        <v>?</v>
      </c>
      <c r="I18" s="133" t="str">
        <f>I19</f>
        <v/>
      </c>
      <c r="J18" s="133" t="str">
        <f t="shared" ref="J18:AD18" si="10">J19</f>
        <v>x</v>
      </c>
      <c r="K18" s="133" t="str">
        <f>K19</f>
        <v/>
      </c>
      <c r="L18" s="133" t="str">
        <f t="shared" si="10"/>
        <v>x</v>
      </c>
      <c r="M18" s="133" t="str">
        <f t="shared" si="10"/>
        <v/>
      </c>
      <c r="N18" s="133" t="str">
        <f t="shared" si="10"/>
        <v/>
      </c>
      <c r="O18" s="133" t="str">
        <f t="shared" si="10"/>
        <v/>
      </c>
      <c r="P18" s="133" t="str">
        <f t="shared" si="10"/>
        <v>x</v>
      </c>
      <c r="Q18" s="133" t="str">
        <f t="shared" si="10"/>
        <v/>
      </c>
      <c r="R18" s="133" t="str">
        <f t="shared" si="10"/>
        <v>x</v>
      </c>
      <c r="S18" s="133" t="str">
        <f t="shared" si="10"/>
        <v/>
      </c>
      <c r="T18" s="133" t="str">
        <f t="shared" si="10"/>
        <v>x</v>
      </c>
      <c r="U18" s="133" t="str">
        <f t="shared" si="10"/>
        <v/>
      </c>
      <c r="V18" s="133" t="str">
        <f t="shared" si="10"/>
        <v>x</v>
      </c>
      <c r="W18" s="133" t="str">
        <f t="shared" si="10"/>
        <v/>
      </c>
      <c r="X18" s="133" t="str">
        <f t="shared" si="10"/>
        <v/>
      </c>
      <c r="Y18" s="133" t="str">
        <f t="shared" si="10"/>
        <v/>
      </c>
      <c r="Z18" s="133" t="str">
        <f t="shared" si="10"/>
        <v/>
      </c>
      <c r="AA18" s="133" t="str">
        <f t="shared" si="10"/>
        <v/>
      </c>
      <c r="AB18" s="133" t="str">
        <f t="shared" si="10"/>
        <v/>
      </c>
      <c r="AC18" s="133" t="str">
        <f t="shared" si="10"/>
        <v/>
      </c>
      <c r="AD18" s="133" t="str">
        <f t="shared" si="10"/>
        <v/>
      </c>
    </row>
    <row r="19" spans="1:30" ht="38.25" customHeight="1" x14ac:dyDescent="0.25">
      <c r="A19" s="212"/>
      <c r="B19" s="569" t="s">
        <v>1194</v>
      </c>
      <c r="C19" s="572"/>
      <c r="D19" s="573"/>
      <c r="E19" s="179"/>
      <c r="F19" s="299" t="s">
        <v>31</v>
      </c>
      <c r="G19" s="154"/>
      <c r="H19" s="287"/>
      <c r="I19" s="33" t="str">
        <f t="shared" ref="I19:AD19" si="11">IF(COUNTIF(I20:I21,"x")=0,"","x")</f>
        <v/>
      </c>
      <c r="J19" s="33" t="str">
        <f t="shared" si="11"/>
        <v>x</v>
      </c>
      <c r="K19" s="33" t="str">
        <f t="shared" si="11"/>
        <v/>
      </c>
      <c r="L19" s="33" t="str">
        <f t="shared" si="11"/>
        <v>x</v>
      </c>
      <c r="M19" s="33" t="str">
        <f t="shared" si="11"/>
        <v/>
      </c>
      <c r="N19" s="33" t="str">
        <f t="shared" si="11"/>
        <v/>
      </c>
      <c r="O19" s="33" t="str">
        <f t="shared" si="11"/>
        <v/>
      </c>
      <c r="P19" s="33" t="str">
        <f t="shared" si="11"/>
        <v>x</v>
      </c>
      <c r="Q19" s="33" t="str">
        <f t="shared" si="11"/>
        <v/>
      </c>
      <c r="R19" s="33" t="str">
        <f t="shared" si="11"/>
        <v>x</v>
      </c>
      <c r="S19" s="33" t="str">
        <f t="shared" si="11"/>
        <v/>
      </c>
      <c r="T19" s="33" t="str">
        <f t="shared" si="11"/>
        <v>x</v>
      </c>
      <c r="U19" s="33" t="str">
        <f t="shared" si="11"/>
        <v/>
      </c>
      <c r="V19" s="33" t="str">
        <f t="shared" si="11"/>
        <v>x</v>
      </c>
      <c r="W19" s="33" t="str">
        <f t="shared" si="11"/>
        <v/>
      </c>
      <c r="X19" s="33" t="str">
        <f t="shared" si="11"/>
        <v/>
      </c>
      <c r="Y19" s="33" t="str">
        <f t="shared" si="11"/>
        <v/>
      </c>
      <c r="Z19" s="33" t="str">
        <f t="shared" si="11"/>
        <v/>
      </c>
      <c r="AA19" s="33" t="str">
        <f t="shared" si="11"/>
        <v/>
      </c>
      <c r="AB19" s="33" t="str">
        <f t="shared" si="11"/>
        <v/>
      </c>
      <c r="AC19" s="33" t="str">
        <f t="shared" si="11"/>
        <v/>
      </c>
      <c r="AD19" s="33" t="str">
        <f t="shared" si="11"/>
        <v/>
      </c>
    </row>
    <row r="20" spans="1:30" ht="50" x14ac:dyDescent="0.25">
      <c r="A20" s="212" t="s">
        <v>943</v>
      </c>
      <c r="B20" s="39" t="s">
        <v>52</v>
      </c>
      <c r="C20" s="373" t="s">
        <v>215</v>
      </c>
      <c r="D20" s="5" t="s">
        <v>1080</v>
      </c>
      <c r="E20" s="144"/>
      <c r="F20" s="301"/>
      <c r="G20" s="155"/>
      <c r="H20" s="287" t="str">
        <f>HYPERLINK(CONCATENATE("http://garwiki.regn.net/mediawiki/index.php/Scorecard_Rule_",MID(A20,FIND(":",A20)+1,9)),"?")</f>
        <v>?</v>
      </c>
      <c r="I20" s="33"/>
      <c r="J20" s="33" t="s">
        <v>144</v>
      </c>
      <c r="K20" s="33"/>
      <c r="L20" s="33" t="s">
        <v>144</v>
      </c>
      <c r="M20" s="47"/>
      <c r="N20" s="47"/>
      <c r="O20" s="33"/>
      <c r="P20" s="33" t="s">
        <v>144</v>
      </c>
      <c r="Q20" s="33"/>
      <c r="R20" s="33" t="s">
        <v>144</v>
      </c>
      <c r="S20" s="33"/>
      <c r="T20" s="33" t="s">
        <v>144</v>
      </c>
      <c r="U20" s="33"/>
      <c r="V20" s="33" t="s">
        <v>144</v>
      </c>
      <c r="W20" s="33"/>
      <c r="X20" s="33"/>
      <c r="Y20" s="33"/>
      <c r="Z20" s="33"/>
      <c r="AA20" s="33"/>
      <c r="AB20" s="33"/>
      <c r="AC20" s="33"/>
      <c r="AD20" s="33"/>
    </row>
    <row r="21" spans="1:30" ht="37.5" x14ac:dyDescent="0.25">
      <c r="A21" s="212" t="s">
        <v>1124</v>
      </c>
      <c r="B21" s="39" t="s">
        <v>52</v>
      </c>
      <c r="C21" s="373" t="s">
        <v>1275</v>
      </c>
      <c r="D21" s="410" t="s">
        <v>1005</v>
      </c>
      <c r="E21" s="351"/>
      <c r="F21" s="301"/>
      <c r="G21" s="155"/>
      <c r="H21" s="287" t="str">
        <f>HYPERLINK(CONCATENATE("http://garwiki.regn.net/mediawiki/index.php/Scorecard_Rule_",MID(A21,FIND(":",A21)+1,9)),"?")</f>
        <v>?</v>
      </c>
      <c r="I21" s="33"/>
      <c r="J21" s="33" t="s">
        <v>144</v>
      </c>
      <c r="K21" s="33"/>
      <c r="L21" s="33" t="s">
        <v>144</v>
      </c>
      <c r="M21" s="47"/>
      <c r="N21" s="47"/>
      <c r="O21" s="33"/>
      <c r="P21" s="33" t="s">
        <v>144</v>
      </c>
      <c r="Q21" s="33"/>
      <c r="R21" s="33" t="s">
        <v>144</v>
      </c>
      <c r="S21" s="33"/>
      <c r="T21" s="33" t="s">
        <v>144</v>
      </c>
      <c r="U21" s="33"/>
      <c r="V21" s="33" t="s">
        <v>144</v>
      </c>
      <c r="W21" s="411"/>
      <c r="X21" s="411"/>
      <c r="Y21" s="411"/>
      <c r="Z21" s="411"/>
      <c r="AA21" s="411"/>
      <c r="AB21" s="411"/>
      <c r="AC21" s="411"/>
      <c r="AD21" s="411"/>
    </row>
  </sheetData>
  <sheetProtection formatColumns="0" formatRows="0"/>
  <mergeCells count="21">
    <mergeCell ref="W2:X2"/>
    <mergeCell ref="K2:L2"/>
    <mergeCell ref="AC2:AD2"/>
    <mergeCell ref="B14:D14"/>
    <mergeCell ref="B10:D10"/>
    <mergeCell ref="B2:D2"/>
    <mergeCell ref="B6:D6"/>
    <mergeCell ref="U2:V2"/>
    <mergeCell ref="M2:N2"/>
    <mergeCell ref="I2:J2"/>
    <mergeCell ref="O2:P2"/>
    <mergeCell ref="Q2:R2"/>
    <mergeCell ref="S2:T2"/>
    <mergeCell ref="AA2:AB2"/>
    <mergeCell ref="Y2:Z2"/>
    <mergeCell ref="D18:G18"/>
    <mergeCell ref="B19:D19"/>
    <mergeCell ref="D1:G1"/>
    <mergeCell ref="D5:G5"/>
    <mergeCell ref="D9:G9"/>
    <mergeCell ref="D13:G13"/>
  </mergeCells>
  <phoneticPr fontId="2" type="noConversion"/>
  <conditionalFormatting sqref="E2:E17">
    <cfRule type="cellIs" dxfId="168" priority="21" operator="equal">
      <formula>"N/A"</formula>
    </cfRule>
    <cfRule type="cellIs" dxfId="167" priority="49" stopIfTrue="1" operator="equal">
      <formula>"Yes-N/A"</formula>
    </cfRule>
    <cfRule type="cellIs" dxfId="166" priority="50" stopIfTrue="1" operator="equal">
      <formula>"P-WVR"</formula>
    </cfRule>
    <cfRule type="cellIs" dxfId="165" priority="51" stopIfTrue="1" operator="equal">
      <formula>"No"</formula>
    </cfRule>
    <cfRule type="cellIs" dxfId="164" priority="52" stopIfTrue="1" operator="equal">
      <formula>"Yes"</formula>
    </cfRule>
    <cfRule type="cellIs" dxfId="163" priority="53" stopIfTrue="1" operator="equal">
      <formula>"WVR"</formula>
    </cfRule>
    <cfRule type="cellIs" dxfId="162" priority="54" stopIfTrue="1" operator="equal">
      <formula>"T-WVR"</formula>
    </cfRule>
    <cfRule type="cellIs" dxfId="161" priority="55" stopIfTrue="1" operator="equal">
      <formula>"R"</formula>
    </cfRule>
    <cfRule type="cellIs" dxfId="160" priority="56" stopIfTrue="1" operator="equal">
      <formula>"Y"</formula>
    </cfRule>
    <cfRule type="cellIs" dxfId="159" priority="57" stopIfTrue="1" operator="equal">
      <formula>"G"</formula>
    </cfRule>
  </conditionalFormatting>
  <conditionalFormatting sqref="E18:E21">
    <cfRule type="cellIs" dxfId="158" priority="11" operator="equal">
      <formula>"N/A"</formula>
    </cfRule>
    <cfRule type="cellIs" dxfId="157" priority="12" stopIfTrue="1" operator="equal">
      <formula>"Yes-N/A"</formula>
    </cfRule>
    <cfRule type="cellIs" dxfId="156" priority="13" stopIfTrue="1" operator="equal">
      <formula>"P-WVR"</formula>
    </cfRule>
    <cfRule type="cellIs" dxfId="155" priority="14" stopIfTrue="1" operator="equal">
      <formula>"No"</formula>
    </cfRule>
    <cfRule type="cellIs" dxfId="154" priority="15" stopIfTrue="1" operator="equal">
      <formula>"Yes"</formula>
    </cfRule>
    <cfRule type="cellIs" dxfId="153" priority="16" stopIfTrue="1" operator="equal">
      <formula>"WVR"</formula>
    </cfRule>
    <cfRule type="cellIs" dxfId="152" priority="17" stopIfTrue="1" operator="equal">
      <formula>"T-WVR"</formula>
    </cfRule>
    <cfRule type="cellIs" dxfId="151" priority="18" stopIfTrue="1" operator="equal">
      <formula>"R"</formula>
    </cfRule>
    <cfRule type="cellIs" dxfId="150" priority="19" stopIfTrue="1" operator="equal">
      <formula>"Y"</formula>
    </cfRule>
    <cfRule type="cellIs" dxfId="149" priority="20" stopIfTrue="1" operator="equal">
      <formula>"G"</formula>
    </cfRule>
  </conditionalFormatting>
  <dataValidations count="4">
    <dataValidation type="list" allowBlank="1" showInputMessage="1" showErrorMessage="1" sqref="E11:E12 E7:E8 E20:E21 E15:E17">
      <formula1>ValidValues</formula1>
    </dataValidation>
    <dataValidation type="list" allowBlank="1" showInputMessage="1" showErrorMessage="1" sqref="E14 E6 E10 E19">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21">
      <formula1>1</formula1>
      <formula2>10000</formula2>
    </dataValidation>
  </dataValidations>
  <pageMargins left="0.7" right="0.7" top="0.75" bottom="0.75" header="0.3" footer="0.3"/>
  <pageSetup scale="97" fitToHeight="100" orientation="landscape" r:id="rId1"/>
  <headerFooter>
    <oddHeader>&amp;L&amp;F&amp;C&amp;A&amp;R&amp;D</oddHeader>
    <oddFooter>&amp;C&amp;P of &amp;N</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fitToPage="1"/>
  </sheetPr>
  <dimension ref="A1:AD15"/>
  <sheetViews>
    <sheetView zoomScaleNormal="100" workbookViewId="0">
      <pane ySplit="4" topLeftCell="A5" activePane="bottomLeft" state="frozenSplit"/>
      <selection pane="bottomLeft" activeCell="E7" sqref="E7"/>
    </sheetView>
  </sheetViews>
  <sheetFormatPr defaultRowHeight="12.5" x14ac:dyDescent="0.25"/>
  <cols>
    <col min="1" max="1" width="1.81640625" customWidth="1"/>
    <col min="2" max="2" width="5.7265625" customWidth="1"/>
    <col min="3" max="3" width="9.1796875" customWidth="1"/>
    <col min="4" max="4" width="54.453125" customWidth="1"/>
    <col min="5" max="5" width="8" customWidth="1"/>
    <col min="6" max="6" width="41.54296875" customWidth="1"/>
    <col min="7" max="7" width="9.453125" customWidth="1"/>
    <col min="8" max="8" width="2" bestFit="1" customWidth="1"/>
    <col min="9" max="12" width="3.81640625" customWidth="1"/>
    <col min="13" max="13" width="3.7265625" customWidth="1"/>
    <col min="14" max="30" width="3.81640625" customWidth="1"/>
  </cols>
  <sheetData>
    <row r="1" spans="1:30" ht="18" x14ac:dyDescent="0.25">
      <c r="A1" s="212" t="s">
        <v>550</v>
      </c>
      <c r="B1" s="372" t="s">
        <v>143</v>
      </c>
      <c r="C1" s="371">
        <v>6</v>
      </c>
      <c r="D1" s="580" t="s">
        <v>88</v>
      </c>
      <c r="E1" s="581"/>
      <c r="F1" s="581"/>
      <c r="G1" s="582"/>
      <c r="H1" s="287" t="str">
        <f>HYPERLINK(CONCATENATE("http://garwiki.regn.net/mediawiki/index.php/",SUBSTITUTE(D1," ","_"),"_(principle)"),"?")</f>
        <v>?</v>
      </c>
      <c r="I1" s="134" t="s">
        <v>414</v>
      </c>
      <c r="J1" s="134" t="s">
        <v>415</v>
      </c>
      <c r="K1" s="134" t="s">
        <v>414</v>
      </c>
      <c r="L1" s="134" t="s">
        <v>415</v>
      </c>
      <c r="M1" s="134" t="s">
        <v>414</v>
      </c>
      <c r="N1" s="134" t="s">
        <v>415</v>
      </c>
      <c r="O1" s="134" t="s">
        <v>414</v>
      </c>
      <c r="P1" s="134" t="s">
        <v>415</v>
      </c>
      <c r="Q1" s="134" t="s">
        <v>414</v>
      </c>
      <c r="R1" s="134" t="s">
        <v>415</v>
      </c>
      <c r="S1" s="134" t="s">
        <v>414</v>
      </c>
      <c r="T1" s="134" t="s">
        <v>415</v>
      </c>
      <c r="U1" s="134" t="s">
        <v>414</v>
      </c>
      <c r="V1" s="134" t="s">
        <v>415</v>
      </c>
      <c r="W1" s="134" t="s">
        <v>414</v>
      </c>
      <c r="X1" s="134" t="s">
        <v>415</v>
      </c>
      <c r="Y1" s="134" t="s">
        <v>414</v>
      </c>
      <c r="Z1" s="134" t="s">
        <v>415</v>
      </c>
      <c r="AA1" s="134" t="s">
        <v>414</v>
      </c>
      <c r="AB1" s="134" t="s">
        <v>415</v>
      </c>
      <c r="AC1" s="134" t="s">
        <v>414</v>
      </c>
      <c r="AD1" s="134" t="s">
        <v>415</v>
      </c>
    </row>
    <row r="2" spans="1:30" ht="36" customHeight="1" thickBot="1" x14ac:dyDescent="0.3">
      <c r="A2" s="212"/>
      <c r="B2" s="586" t="s">
        <v>1208</v>
      </c>
      <c r="C2" s="603"/>
      <c r="D2" s="603"/>
      <c r="E2" s="179"/>
      <c r="F2" s="298" t="s">
        <v>31</v>
      </c>
      <c r="G2" s="271"/>
      <c r="H2" s="142"/>
      <c r="I2" s="579" t="s">
        <v>883</v>
      </c>
      <c r="J2" s="579"/>
      <c r="K2" s="579" t="s">
        <v>882</v>
      </c>
      <c r="L2" s="579"/>
      <c r="M2" s="579" t="s">
        <v>416</v>
      </c>
      <c r="N2" s="579"/>
      <c r="O2" s="579" t="s">
        <v>312</v>
      </c>
      <c r="P2" s="579"/>
      <c r="Q2" s="579" t="s">
        <v>313</v>
      </c>
      <c r="R2" s="579"/>
      <c r="S2" s="579" t="s">
        <v>311</v>
      </c>
      <c r="T2" s="579"/>
      <c r="U2" s="579" t="s">
        <v>314</v>
      </c>
      <c r="V2" s="579"/>
      <c r="W2" s="583" t="s">
        <v>565</v>
      </c>
      <c r="X2" s="584"/>
      <c r="Y2" s="583" t="s">
        <v>887</v>
      </c>
      <c r="Z2" s="584"/>
      <c r="AA2" s="583" t="s">
        <v>888</v>
      </c>
      <c r="AB2" s="584"/>
      <c r="AC2" s="583" t="s">
        <v>889</v>
      </c>
      <c r="AD2" s="584"/>
    </row>
    <row r="3" spans="1:30" ht="13" thickBot="1" x14ac:dyDescent="0.3">
      <c r="A3" s="212"/>
      <c r="B3" s="12"/>
      <c r="C3" s="6"/>
      <c r="D3" s="12"/>
      <c r="E3" s="272"/>
      <c r="F3" s="273"/>
      <c r="G3" s="274"/>
      <c r="H3" s="142"/>
      <c r="I3" s="106"/>
      <c r="J3" s="106"/>
      <c r="K3" s="106"/>
      <c r="L3" s="106"/>
      <c r="M3" s="106"/>
      <c r="N3" s="106"/>
      <c r="O3" s="106"/>
      <c r="P3" s="106"/>
      <c r="Q3" s="106"/>
      <c r="R3" s="106"/>
      <c r="S3" s="106"/>
      <c r="T3" s="106"/>
      <c r="U3" s="106"/>
      <c r="V3" s="106"/>
      <c r="W3" s="106"/>
      <c r="X3" s="106"/>
      <c r="Y3" s="106"/>
      <c r="Z3" s="106"/>
      <c r="AA3" s="106"/>
      <c r="AB3" s="106"/>
      <c r="AC3" s="106"/>
      <c r="AD3" s="106"/>
    </row>
    <row r="4" spans="1:30" ht="26" x14ac:dyDescent="0.25">
      <c r="A4" s="212"/>
      <c r="B4" s="10" t="s">
        <v>50</v>
      </c>
      <c r="C4" s="11" t="s">
        <v>51</v>
      </c>
      <c r="D4" s="11" t="s">
        <v>35</v>
      </c>
      <c r="E4" s="275" t="s">
        <v>49</v>
      </c>
      <c r="F4" s="276" t="s">
        <v>36</v>
      </c>
      <c r="G4" s="269" t="s">
        <v>656</v>
      </c>
      <c r="H4" s="142"/>
      <c r="I4" s="111" t="s">
        <v>144</v>
      </c>
      <c r="J4" s="111" t="s">
        <v>144</v>
      </c>
      <c r="K4" s="111" t="s">
        <v>144</v>
      </c>
      <c r="L4" s="111" t="s">
        <v>144</v>
      </c>
      <c r="M4" s="111" t="s">
        <v>144</v>
      </c>
      <c r="N4" s="111" t="s">
        <v>144</v>
      </c>
      <c r="O4" s="111" t="s">
        <v>144</v>
      </c>
      <c r="P4" s="111" t="s">
        <v>144</v>
      </c>
      <c r="Q4" s="111" t="s">
        <v>144</v>
      </c>
      <c r="R4" s="111" t="s">
        <v>144</v>
      </c>
      <c r="S4" s="111" t="s">
        <v>144</v>
      </c>
      <c r="T4" s="111" t="s">
        <v>144</v>
      </c>
      <c r="U4" s="111" t="s">
        <v>144</v>
      </c>
      <c r="V4" s="111" t="s">
        <v>144</v>
      </c>
      <c r="W4" s="111" t="s">
        <v>144</v>
      </c>
      <c r="X4" s="111" t="s">
        <v>144</v>
      </c>
      <c r="Y4" s="111" t="s">
        <v>144</v>
      </c>
      <c r="Z4" s="111" t="s">
        <v>144</v>
      </c>
      <c r="AA4" s="111" t="s">
        <v>144</v>
      </c>
      <c r="AB4" s="111" t="s">
        <v>144</v>
      </c>
      <c r="AC4" s="111" t="s">
        <v>144</v>
      </c>
      <c r="AD4" s="111" t="s">
        <v>144</v>
      </c>
    </row>
    <row r="5" spans="1:30" ht="13" x14ac:dyDescent="0.25">
      <c r="A5" s="212" t="s">
        <v>475</v>
      </c>
      <c r="B5" s="132" t="s">
        <v>143</v>
      </c>
      <c r="C5" s="131" t="s">
        <v>619</v>
      </c>
      <c r="D5" s="574" t="s">
        <v>1170</v>
      </c>
      <c r="E5" s="575"/>
      <c r="F5" s="575"/>
      <c r="G5" s="576"/>
      <c r="H5" s="287" t="str">
        <f>HYPERLINK(CONCATENATE("http://garwiki.regn.net/mediawiki/index.php/",SUBSTITUTE(D5," ","_"),"_(golden_rule)"),"?")</f>
        <v>?</v>
      </c>
      <c r="I5" s="130" t="str">
        <f t="shared" ref="I5:AD5" si="0">I6</f>
        <v>x</v>
      </c>
      <c r="J5" s="130" t="str">
        <f t="shared" si="0"/>
        <v>x</v>
      </c>
      <c r="K5" s="130" t="str">
        <f t="shared" si="0"/>
        <v>x</v>
      </c>
      <c r="L5" s="130" t="str">
        <f t="shared" si="0"/>
        <v>x</v>
      </c>
      <c r="M5" s="130" t="str">
        <f t="shared" si="0"/>
        <v>x</v>
      </c>
      <c r="N5" s="130" t="str">
        <f t="shared" si="0"/>
        <v>x</v>
      </c>
      <c r="O5" s="130" t="str">
        <f t="shared" si="0"/>
        <v>x</v>
      </c>
      <c r="P5" s="130" t="str">
        <f t="shared" si="0"/>
        <v>x</v>
      </c>
      <c r="Q5" s="130" t="str">
        <f t="shared" si="0"/>
        <v>x</v>
      </c>
      <c r="R5" s="130" t="str">
        <f t="shared" si="0"/>
        <v>x</v>
      </c>
      <c r="S5" s="130" t="str">
        <f t="shared" si="0"/>
        <v>x</v>
      </c>
      <c r="T5" s="130" t="str">
        <f t="shared" si="0"/>
        <v>x</v>
      </c>
      <c r="U5" s="130" t="str">
        <f t="shared" si="0"/>
        <v>x</v>
      </c>
      <c r="V5" s="130" t="str">
        <f t="shared" si="0"/>
        <v>x</v>
      </c>
      <c r="W5" s="130" t="str">
        <f t="shared" si="0"/>
        <v>x</v>
      </c>
      <c r="X5" s="130" t="str">
        <f t="shared" si="0"/>
        <v>x</v>
      </c>
      <c r="Y5" s="130" t="str">
        <f t="shared" si="0"/>
        <v/>
      </c>
      <c r="Z5" s="130" t="str">
        <f t="shared" si="0"/>
        <v/>
      </c>
      <c r="AA5" s="130" t="str">
        <f t="shared" si="0"/>
        <v/>
      </c>
      <c r="AB5" s="130" t="str">
        <f t="shared" si="0"/>
        <v/>
      </c>
      <c r="AC5" s="130" t="str">
        <f t="shared" si="0"/>
        <v/>
      </c>
      <c r="AD5" s="130" t="str">
        <f t="shared" si="0"/>
        <v/>
      </c>
    </row>
    <row r="6" spans="1:30" ht="26.25" customHeight="1" x14ac:dyDescent="0.25">
      <c r="A6" s="212"/>
      <c r="B6" s="569" t="s">
        <v>1170</v>
      </c>
      <c r="C6" s="570"/>
      <c r="D6" s="597"/>
      <c r="E6" s="179"/>
      <c r="F6" s="299" t="s">
        <v>31</v>
      </c>
      <c r="G6" s="151"/>
      <c r="H6" s="142"/>
      <c r="I6" s="105" t="str">
        <f t="shared" ref="I6:AD6" si="1">IF(COUNTIF(I7:I9,"x")=0,"","x")</f>
        <v>x</v>
      </c>
      <c r="J6" s="105" t="str">
        <f t="shared" si="1"/>
        <v>x</v>
      </c>
      <c r="K6" s="105" t="str">
        <f t="shared" si="1"/>
        <v>x</v>
      </c>
      <c r="L6" s="105" t="str">
        <f t="shared" si="1"/>
        <v>x</v>
      </c>
      <c r="M6" s="105" t="str">
        <f t="shared" si="1"/>
        <v>x</v>
      </c>
      <c r="N6" s="105" t="str">
        <f t="shared" si="1"/>
        <v>x</v>
      </c>
      <c r="O6" s="105" t="str">
        <f t="shared" si="1"/>
        <v>x</v>
      </c>
      <c r="P6" s="105" t="str">
        <f t="shared" si="1"/>
        <v>x</v>
      </c>
      <c r="Q6" s="105" t="str">
        <f t="shared" si="1"/>
        <v>x</v>
      </c>
      <c r="R6" s="105" t="str">
        <f t="shared" si="1"/>
        <v>x</v>
      </c>
      <c r="S6" s="105" t="str">
        <f t="shared" si="1"/>
        <v>x</v>
      </c>
      <c r="T6" s="105" t="str">
        <f t="shared" si="1"/>
        <v>x</v>
      </c>
      <c r="U6" s="105" t="str">
        <f t="shared" si="1"/>
        <v>x</v>
      </c>
      <c r="V6" s="105" t="str">
        <f t="shared" si="1"/>
        <v>x</v>
      </c>
      <c r="W6" s="105" t="str">
        <f t="shared" si="1"/>
        <v>x</v>
      </c>
      <c r="X6" s="105" t="str">
        <f t="shared" si="1"/>
        <v>x</v>
      </c>
      <c r="Y6" s="105" t="str">
        <f t="shared" si="1"/>
        <v/>
      </c>
      <c r="Z6" s="105" t="str">
        <f t="shared" si="1"/>
        <v/>
      </c>
      <c r="AA6" s="105" t="str">
        <f t="shared" si="1"/>
        <v/>
      </c>
      <c r="AB6" s="105" t="str">
        <f t="shared" si="1"/>
        <v/>
      </c>
      <c r="AC6" s="105" t="str">
        <f t="shared" si="1"/>
        <v/>
      </c>
      <c r="AD6" s="105" t="str">
        <f t="shared" si="1"/>
        <v/>
      </c>
    </row>
    <row r="7" spans="1:30" ht="25" x14ac:dyDescent="0.25">
      <c r="A7" s="212" t="s">
        <v>476</v>
      </c>
      <c r="B7" s="22" t="s">
        <v>52</v>
      </c>
      <c r="C7" s="373" t="s">
        <v>96</v>
      </c>
      <c r="D7" s="407" t="s">
        <v>815</v>
      </c>
      <c r="E7" s="143"/>
      <c r="F7" s="300"/>
      <c r="G7" s="146"/>
      <c r="H7" s="287" t="str">
        <f>HYPERLINK(CONCATENATE("http://garwiki.regn.net/mediawiki/index.php/Scorecard_Rule_",MID(A7,FIND(":",A7)+1,9)),"?")</f>
        <v>?</v>
      </c>
      <c r="I7" s="105" t="s">
        <v>144</v>
      </c>
      <c r="J7" s="105" t="s">
        <v>144</v>
      </c>
      <c r="K7" s="105" t="s">
        <v>144</v>
      </c>
      <c r="L7" s="105" t="s">
        <v>144</v>
      </c>
      <c r="M7" s="105" t="s">
        <v>144</v>
      </c>
      <c r="N7" s="105" t="s">
        <v>144</v>
      </c>
      <c r="O7" s="105" t="s">
        <v>144</v>
      </c>
      <c r="P7" s="105" t="s">
        <v>144</v>
      </c>
      <c r="Q7" s="105" t="s">
        <v>144</v>
      </c>
      <c r="R7" s="105" t="s">
        <v>144</v>
      </c>
      <c r="S7" s="105" t="s">
        <v>144</v>
      </c>
      <c r="T7" s="105" t="s">
        <v>144</v>
      </c>
      <c r="U7" s="105" t="s">
        <v>144</v>
      </c>
      <c r="V7" s="105" t="s">
        <v>144</v>
      </c>
      <c r="W7" s="105" t="s">
        <v>144</v>
      </c>
      <c r="X7" s="105" t="s">
        <v>144</v>
      </c>
      <c r="Y7" s="105"/>
      <c r="Z7" s="105"/>
      <c r="AA7" s="105"/>
      <c r="AB7" s="105"/>
      <c r="AC7" s="105"/>
      <c r="AD7" s="105"/>
    </row>
    <row r="8" spans="1:30" ht="25" x14ac:dyDescent="0.25">
      <c r="A8" s="212" t="s">
        <v>477</v>
      </c>
      <c r="B8" s="23" t="s">
        <v>52</v>
      </c>
      <c r="C8" s="373" t="s">
        <v>97</v>
      </c>
      <c r="D8" s="407" t="s">
        <v>811</v>
      </c>
      <c r="E8" s="143"/>
      <c r="F8" s="300"/>
      <c r="G8" s="146"/>
      <c r="H8" s="287" t="str">
        <f>HYPERLINK(CONCATENATE("http://garwiki.regn.net/mediawiki/index.php/Scorecard_Rule_",MID(A8,FIND(":",A8)+1,9)),"?")</f>
        <v>?</v>
      </c>
      <c r="I8" s="105" t="s">
        <v>144</v>
      </c>
      <c r="J8" s="105" t="s">
        <v>144</v>
      </c>
      <c r="K8" s="105" t="s">
        <v>144</v>
      </c>
      <c r="L8" s="105" t="s">
        <v>144</v>
      </c>
      <c r="M8" s="105" t="s">
        <v>144</v>
      </c>
      <c r="N8" s="105" t="s">
        <v>144</v>
      </c>
      <c r="O8" s="105" t="s">
        <v>144</v>
      </c>
      <c r="P8" s="105" t="s">
        <v>144</v>
      </c>
      <c r="Q8" s="105" t="s">
        <v>144</v>
      </c>
      <c r="R8" s="105" t="s">
        <v>144</v>
      </c>
      <c r="S8" s="105" t="s">
        <v>144</v>
      </c>
      <c r="T8" s="105" t="s">
        <v>144</v>
      </c>
      <c r="U8" s="105" t="s">
        <v>144</v>
      </c>
      <c r="V8" s="105" t="s">
        <v>144</v>
      </c>
      <c r="W8" s="105" t="s">
        <v>144</v>
      </c>
      <c r="X8" s="105" t="s">
        <v>144</v>
      </c>
      <c r="Y8" s="106"/>
      <c r="Z8" s="106"/>
      <c r="AA8" s="106"/>
      <c r="AB8" s="106"/>
      <c r="AC8" s="106"/>
      <c r="AD8" s="106"/>
    </row>
    <row r="9" spans="1:30" ht="25" x14ac:dyDescent="0.25">
      <c r="A9" s="212" t="s">
        <v>478</v>
      </c>
      <c r="B9" s="22" t="s">
        <v>52</v>
      </c>
      <c r="C9" s="373" t="s">
        <v>1029</v>
      </c>
      <c r="D9" s="407" t="s">
        <v>748</v>
      </c>
      <c r="E9" s="143"/>
      <c r="F9" s="300"/>
      <c r="G9" s="146"/>
      <c r="H9" s="287" t="str">
        <f>HYPERLINK(CONCATENATE("http://garwiki.regn.net/mediawiki/index.php/Scorecard_Rule_",MID(A9,FIND(":",A9)+1,9)),"?")</f>
        <v>?</v>
      </c>
      <c r="I9" s="105" t="s">
        <v>144</v>
      </c>
      <c r="J9" s="105" t="s">
        <v>144</v>
      </c>
      <c r="K9" s="105" t="s">
        <v>144</v>
      </c>
      <c r="L9" s="105" t="s">
        <v>144</v>
      </c>
      <c r="M9" s="105" t="s">
        <v>144</v>
      </c>
      <c r="N9" s="105" t="s">
        <v>144</v>
      </c>
      <c r="O9" s="105" t="s">
        <v>144</v>
      </c>
      <c r="P9" s="105" t="s">
        <v>144</v>
      </c>
      <c r="Q9" s="105" t="s">
        <v>144</v>
      </c>
      <c r="R9" s="105" t="s">
        <v>144</v>
      </c>
      <c r="S9" s="105" t="s">
        <v>144</v>
      </c>
      <c r="T9" s="105" t="s">
        <v>144</v>
      </c>
      <c r="U9" s="105" t="s">
        <v>144</v>
      </c>
      <c r="V9" s="105" t="s">
        <v>144</v>
      </c>
      <c r="W9" s="105" t="s">
        <v>144</v>
      </c>
      <c r="X9" s="105" t="s">
        <v>144</v>
      </c>
      <c r="Y9" s="105"/>
      <c r="Z9" s="105"/>
      <c r="AA9" s="105"/>
      <c r="AB9" s="105"/>
      <c r="AC9" s="105"/>
      <c r="AD9" s="105"/>
    </row>
    <row r="10" spans="1:30" ht="13" x14ac:dyDescent="0.25">
      <c r="A10" s="212" t="s">
        <v>479</v>
      </c>
      <c r="B10" s="132" t="s">
        <v>143</v>
      </c>
      <c r="C10" s="131" t="s">
        <v>620</v>
      </c>
      <c r="D10" s="574" t="s">
        <v>1171</v>
      </c>
      <c r="E10" s="575"/>
      <c r="F10" s="575"/>
      <c r="G10" s="576"/>
      <c r="H10" s="287" t="str">
        <f>HYPERLINK(CONCATENATE("http://garwiki.regn.net/mediawiki/index.php/",SUBSTITUTE(D10," ","_"),"_(golden_rule)"),"?")</f>
        <v>?</v>
      </c>
      <c r="I10" s="130" t="str">
        <f>I11</f>
        <v>x</v>
      </c>
      <c r="J10" s="130" t="str">
        <f t="shared" ref="J10:AD10" si="2">J11</f>
        <v>x</v>
      </c>
      <c r="K10" s="130" t="str">
        <f>K11</f>
        <v>x</v>
      </c>
      <c r="L10" s="130" t="str">
        <f t="shared" si="2"/>
        <v>x</v>
      </c>
      <c r="M10" s="130" t="str">
        <f t="shared" si="2"/>
        <v>x</v>
      </c>
      <c r="N10" s="130" t="str">
        <f t="shared" si="2"/>
        <v>x</v>
      </c>
      <c r="O10" s="130" t="str">
        <f t="shared" si="2"/>
        <v>x</v>
      </c>
      <c r="P10" s="130" t="str">
        <f t="shared" si="2"/>
        <v>x</v>
      </c>
      <c r="Q10" s="130" t="str">
        <f t="shared" si="2"/>
        <v>x</v>
      </c>
      <c r="R10" s="130" t="str">
        <f t="shared" si="2"/>
        <v>x</v>
      </c>
      <c r="S10" s="130" t="str">
        <f t="shared" si="2"/>
        <v>x</v>
      </c>
      <c r="T10" s="130" t="str">
        <f t="shared" si="2"/>
        <v>x</v>
      </c>
      <c r="U10" s="130" t="str">
        <f t="shared" si="2"/>
        <v>x</v>
      </c>
      <c r="V10" s="130" t="str">
        <f t="shared" si="2"/>
        <v>x</v>
      </c>
      <c r="W10" s="130" t="str">
        <f t="shared" si="2"/>
        <v>x</v>
      </c>
      <c r="X10" s="130" t="str">
        <f t="shared" si="2"/>
        <v>x</v>
      </c>
      <c r="Y10" s="130" t="str">
        <f t="shared" si="2"/>
        <v/>
      </c>
      <c r="Z10" s="130" t="str">
        <f t="shared" si="2"/>
        <v/>
      </c>
      <c r="AA10" s="130" t="str">
        <f t="shared" si="2"/>
        <v/>
      </c>
      <c r="AB10" s="130" t="str">
        <f t="shared" si="2"/>
        <v/>
      </c>
      <c r="AC10" s="130" t="str">
        <f t="shared" si="2"/>
        <v/>
      </c>
      <c r="AD10" s="130" t="str">
        <f t="shared" si="2"/>
        <v/>
      </c>
    </row>
    <row r="11" spans="1:30" ht="27.75" customHeight="1" x14ac:dyDescent="0.25">
      <c r="A11" s="212"/>
      <c r="B11" s="569" t="s">
        <v>1171</v>
      </c>
      <c r="C11" s="601"/>
      <c r="D11" s="602"/>
      <c r="E11" s="179"/>
      <c r="F11" s="299" t="s">
        <v>31</v>
      </c>
      <c r="G11" s="151"/>
      <c r="H11" s="287"/>
      <c r="I11" s="105" t="str">
        <f t="shared" ref="I11:AD11" si="3">IF(COUNTIF(I12:I13,"x")=0,"","x")</f>
        <v>x</v>
      </c>
      <c r="J11" s="105" t="str">
        <f t="shared" si="3"/>
        <v>x</v>
      </c>
      <c r="K11" s="105" t="str">
        <f t="shared" si="3"/>
        <v>x</v>
      </c>
      <c r="L11" s="105" t="str">
        <f t="shared" si="3"/>
        <v>x</v>
      </c>
      <c r="M11" s="105" t="str">
        <f t="shared" si="3"/>
        <v>x</v>
      </c>
      <c r="N11" s="105" t="str">
        <f t="shared" si="3"/>
        <v>x</v>
      </c>
      <c r="O11" s="105" t="str">
        <f t="shared" si="3"/>
        <v>x</v>
      </c>
      <c r="P11" s="105" t="str">
        <f t="shared" si="3"/>
        <v>x</v>
      </c>
      <c r="Q11" s="105" t="str">
        <f t="shared" si="3"/>
        <v>x</v>
      </c>
      <c r="R11" s="105" t="str">
        <f t="shared" si="3"/>
        <v>x</v>
      </c>
      <c r="S11" s="105" t="str">
        <f t="shared" si="3"/>
        <v>x</v>
      </c>
      <c r="T11" s="105" t="str">
        <f t="shared" si="3"/>
        <v>x</v>
      </c>
      <c r="U11" s="105" t="str">
        <f t="shared" si="3"/>
        <v>x</v>
      </c>
      <c r="V11" s="105" t="str">
        <f t="shared" si="3"/>
        <v>x</v>
      </c>
      <c r="W11" s="105" t="str">
        <f t="shared" si="3"/>
        <v>x</v>
      </c>
      <c r="X11" s="105" t="str">
        <f t="shared" si="3"/>
        <v>x</v>
      </c>
      <c r="Y11" s="105" t="str">
        <f t="shared" si="3"/>
        <v/>
      </c>
      <c r="Z11" s="105" t="str">
        <f t="shared" si="3"/>
        <v/>
      </c>
      <c r="AA11" s="105" t="str">
        <f t="shared" si="3"/>
        <v/>
      </c>
      <c r="AB11" s="105" t="str">
        <f t="shared" si="3"/>
        <v/>
      </c>
      <c r="AC11" s="105" t="str">
        <f t="shared" si="3"/>
        <v/>
      </c>
      <c r="AD11" s="105" t="str">
        <f t="shared" si="3"/>
        <v/>
      </c>
    </row>
    <row r="12" spans="1:30" x14ac:dyDescent="0.25">
      <c r="A12" s="212" t="s">
        <v>480</v>
      </c>
      <c r="B12" s="453" t="s">
        <v>52</v>
      </c>
      <c r="C12" s="373" t="s">
        <v>98</v>
      </c>
      <c r="D12" s="407" t="s">
        <v>747</v>
      </c>
      <c r="E12" s="143"/>
      <c r="F12" s="300"/>
      <c r="G12" s="146"/>
      <c r="H12" s="287" t="str">
        <f>HYPERLINK(CONCATENATE("http://garwiki.regn.net/mediawiki/index.php/Scorecard_Rule_",MID(A12,FIND(":",A12)+1,9)),"?")</f>
        <v>?</v>
      </c>
      <c r="I12" s="105" t="s">
        <v>144</v>
      </c>
      <c r="J12" s="105" t="s">
        <v>144</v>
      </c>
      <c r="K12" s="105" t="s">
        <v>144</v>
      </c>
      <c r="L12" s="105" t="s">
        <v>144</v>
      </c>
      <c r="M12" s="105" t="s">
        <v>144</v>
      </c>
      <c r="N12" s="105" t="s">
        <v>144</v>
      </c>
      <c r="O12" s="105" t="s">
        <v>144</v>
      </c>
      <c r="P12" s="105" t="s">
        <v>144</v>
      </c>
      <c r="Q12" s="105" t="s">
        <v>144</v>
      </c>
      <c r="R12" s="105" t="s">
        <v>144</v>
      </c>
      <c r="S12" s="105" t="s">
        <v>144</v>
      </c>
      <c r="T12" s="105" t="s">
        <v>144</v>
      </c>
      <c r="U12" s="105" t="s">
        <v>144</v>
      </c>
      <c r="V12" s="105" t="s">
        <v>144</v>
      </c>
      <c r="W12" s="105" t="s">
        <v>144</v>
      </c>
      <c r="X12" s="105" t="s">
        <v>144</v>
      </c>
      <c r="Y12" s="105"/>
      <c r="Z12" s="105"/>
      <c r="AA12" s="105"/>
      <c r="AB12" s="105"/>
      <c r="AC12" s="105"/>
      <c r="AD12" s="105"/>
    </row>
    <row r="13" spans="1:30" ht="25" x14ac:dyDescent="0.25">
      <c r="A13" s="212" t="s">
        <v>940</v>
      </c>
      <c r="B13" s="23" t="s">
        <v>52</v>
      </c>
      <c r="C13" s="373" t="s">
        <v>1032</v>
      </c>
      <c r="D13" s="407" t="s">
        <v>939</v>
      </c>
      <c r="E13" s="143"/>
      <c r="F13" s="300"/>
      <c r="G13" s="146"/>
      <c r="H13" s="287" t="str">
        <f>HYPERLINK(CONCATENATE("http://garwiki.regn.net/mediawiki/index.php/Scorecard_Rule_",MID(A13,FIND(":",A13)+1,9)),"?")</f>
        <v>?</v>
      </c>
      <c r="I13" s="105" t="s">
        <v>144</v>
      </c>
      <c r="J13" s="105" t="s">
        <v>144</v>
      </c>
      <c r="K13" s="105" t="s">
        <v>144</v>
      </c>
      <c r="L13" s="105" t="s">
        <v>144</v>
      </c>
      <c r="M13" s="105" t="s">
        <v>144</v>
      </c>
      <c r="N13" s="105" t="s">
        <v>144</v>
      </c>
      <c r="O13" s="105" t="s">
        <v>144</v>
      </c>
      <c r="P13" s="105" t="s">
        <v>144</v>
      </c>
      <c r="Q13" s="105" t="s">
        <v>144</v>
      </c>
      <c r="R13" s="105" t="s">
        <v>144</v>
      </c>
      <c r="S13" s="105" t="s">
        <v>144</v>
      </c>
      <c r="T13" s="105" t="s">
        <v>144</v>
      </c>
      <c r="U13" s="105" t="s">
        <v>144</v>
      </c>
      <c r="V13" s="105" t="s">
        <v>144</v>
      </c>
      <c r="W13" s="105" t="s">
        <v>144</v>
      </c>
      <c r="X13" s="105" t="s">
        <v>144</v>
      </c>
      <c r="Y13" s="105"/>
      <c r="Z13" s="105"/>
      <c r="AA13" s="105"/>
      <c r="AB13" s="105"/>
      <c r="AC13" s="105"/>
      <c r="AD13" s="105"/>
    </row>
    <row r="14" spans="1:30" ht="21" customHeight="1" x14ac:dyDescent="0.25"/>
    <row r="15" spans="1:30" ht="21" customHeight="1" x14ac:dyDescent="0.25"/>
  </sheetData>
  <sheetProtection formatColumns="0" formatRows="0"/>
  <mergeCells count="17">
    <mergeCell ref="B6:D6"/>
    <mergeCell ref="B11:D11"/>
    <mergeCell ref="D5:G5"/>
    <mergeCell ref="D10:G10"/>
    <mergeCell ref="D1:G1"/>
    <mergeCell ref="B2:D2"/>
    <mergeCell ref="W2:X2"/>
    <mergeCell ref="AC2:AD2"/>
    <mergeCell ref="U2:V2"/>
    <mergeCell ref="I2:J2"/>
    <mergeCell ref="O2:P2"/>
    <mergeCell ref="Q2:R2"/>
    <mergeCell ref="S2:T2"/>
    <mergeCell ref="M2:N2"/>
    <mergeCell ref="K2:L2"/>
    <mergeCell ref="AA2:AB2"/>
    <mergeCell ref="Y2:Z2"/>
  </mergeCells>
  <phoneticPr fontId="2" type="noConversion"/>
  <conditionalFormatting sqref="E2:E12">
    <cfRule type="cellIs" dxfId="148" priority="21" operator="equal">
      <formula>"N/A"</formula>
    </cfRule>
    <cfRule type="cellIs" dxfId="147" priority="22" stopIfTrue="1" operator="equal">
      <formula>"Yes-N/A"</formula>
    </cfRule>
    <cfRule type="cellIs" dxfId="146" priority="23" stopIfTrue="1" operator="equal">
      <formula>"P-WVR"</formula>
    </cfRule>
    <cfRule type="cellIs" dxfId="145" priority="24" stopIfTrue="1" operator="equal">
      <formula>"No"</formula>
    </cfRule>
    <cfRule type="cellIs" dxfId="144" priority="25" stopIfTrue="1" operator="equal">
      <formula>"Yes"</formula>
    </cfRule>
    <cfRule type="cellIs" dxfId="143" priority="26" stopIfTrue="1" operator="equal">
      <formula>"WVR"</formula>
    </cfRule>
    <cfRule type="cellIs" dxfId="142" priority="27" stopIfTrue="1" operator="equal">
      <formula>"T-WVR"</formula>
    </cfRule>
    <cfRule type="cellIs" dxfId="141" priority="28" stopIfTrue="1" operator="equal">
      <formula>"R"</formula>
    </cfRule>
    <cfRule type="cellIs" dxfId="140" priority="29" stopIfTrue="1" operator="equal">
      <formula>"Y"</formula>
    </cfRule>
    <cfRule type="cellIs" dxfId="139" priority="30" stopIfTrue="1" operator="equal">
      <formula>"G"</formula>
    </cfRule>
  </conditionalFormatting>
  <conditionalFormatting sqref="E13">
    <cfRule type="cellIs" dxfId="138" priority="1" operator="equal">
      <formula>"N/A"</formula>
    </cfRule>
    <cfRule type="cellIs" dxfId="137" priority="2" stopIfTrue="1" operator="equal">
      <formula>"Yes-N/A"</formula>
    </cfRule>
    <cfRule type="cellIs" dxfId="136" priority="3" stopIfTrue="1" operator="equal">
      <formula>"P-WVR"</formula>
    </cfRule>
    <cfRule type="cellIs" dxfId="135" priority="4" stopIfTrue="1" operator="equal">
      <formula>"No"</formula>
    </cfRule>
    <cfRule type="cellIs" dxfId="134" priority="5" stopIfTrue="1" operator="equal">
      <formula>"Yes"</formula>
    </cfRule>
    <cfRule type="cellIs" dxfId="133" priority="6" stopIfTrue="1" operator="equal">
      <formula>"WVR"</formula>
    </cfRule>
    <cfRule type="cellIs" dxfId="132" priority="7" stopIfTrue="1" operator="equal">
      <formula>"T-WVR"</formula>
    </cfRule>
    <cfRule type="cellIs" dxfId="131" priority="8" stopIfTrue="1" operator="equal">
      <formula>"R"</formula>
    </cfRule>
    <cfRule type="cellIs" dxfId="130" priority="9" stopIfTrue="1" operator="equal">
      <formula>"Y"</formula>
    </cfRule>
    <cfRule type="cellIs" dxfId="129" priority="10" stopIfTrue="1" operator="equal">
      <formula>"G"</formula>
    </cfRule>
  </conditionalFormatting>
  <dataValidations count="4">
    <dataValidation type="list" allowBlank="1" showInputMessage="1" showErrorMessage="1" sqref="E12:E13 E7:E9">
      <formula1>ValidValues</formula1>
    </dataValidation>
    <dataValidation type="list" allowBlank="1" showInputMessage="1" showErrorMessage="1" sqref="E6 E11">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13">
      <formula1>1</formula1>
      <formula2>10000</formula2>
    </dataValidation>
  </dataValidations>
  <pageMargins left="0.7" right="0.7" top="0.75" bottom="0.75" header="0.3" footer="0.3"/>
  <pageSetup scale="97" fitToHeight="100" orientation="landscape" r:id="rId1"/>
  <headerFooter alignWithMargins="0">
    <oddHeader>&amp;L&amp;F&amp;C&amp;A&amp;R&amp;D</oddHeader>
    <oddFooter>&amp;C&amp;P of &amp;N</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fitToPage="1"/>
  </sheetPr>
  <dimension ref="A1:AH124"/>
  <sheetViews>
    <sheetView zoomScaleNormal="100" workbookViewId="0">
      <pane ySplit="4" topLeftCell="A5" activePane="bottomLeft" state="frozen"/>
      <selection pane="bottomLeft" activeCell="E7" sqref="E7"/>
    </sheetView>
  </sheetViews>
  <sheetFormatPr defaultColWidth="9.1796875" defaultRowHeight="12.5" x14ac:dyDescent="0.25"/>
  <cols>
    <col min="1" max="1" width="1.81640625" style="41" customWidth="1"/>
    <col min="2" max="2" width="5.7265625" style="233" customWidth="1"/>
    <col min="3" max="3" width="9.1796875" style="233" customWidth="1"/>
    <col min="4" max="4" width="54.453125" style="24" customWidth="1"/>
    <col min="5" max="5" width="8" style="180" customWidth="1"/>
    <col min="6" max="6" width="41.54296875" style="181" customWidth="1"/>
    <col min="7" max="7" width="9.453125" style="182" customWidth="1"/>
    <col min="8" max="8" width="2" style="41" bestFit="1" customWidth="1"/>
    <col min="9" max="12" width="3.81640625" style="140" customWidth="1"/>
    <col min="13" max="13" width="3.7265625" style="78" customWidth="1"/>
    <col min="14" max="14" width="3.81640625" style="78" customWidth="1"/>
    <col min="15" max="30" width="3.81640625" style="140" customWidth="1"/>
    <col min="31" max="16384" width="9.1796875" style="121"/>
  </cols>
  <sheetData>
    <row r="1" spans="1:30" s="14" customFormat="1" ht="18" x14ac:dyDescent="0.4">
      <c r="A1" s="212" t="s">
        <v>549</v>
      </c>
      <c r="B1" s="372" t="s">
        <v>143</v>
      </c>
      <c r="C1" s="371">
        <v>7</v>
      </c>
      <c r="D1" s="580" t="s">
        <v>263</v>
      </c>
      <c r="E1" s="581"/>
      <c r="F1" s="581"/>
      <c r="G1" s="582"/>
      <c r="H1" s="287" t="str">
        <f>HYPERLINK(CONCATENATE("http://garwiki.regn.net/mediawiki/index.php/",SUBSTITUTE(D1," ","_"),"_(principle)"),"?")</f>
        <v>?</v>
      </c>
      <c r="I1" s="134" t="s">
        <v>414</v>
      </c>
      <c r="J1" s="134" t="s">
        <v>415</v>
      </c>
      <c r="K1" s="134" t="s">
        <v>414</v>
      </c>
      <c r="L1" s="134" t="s">
        <v>415</v>
      </c>
      <c r="M1" s="134" t="s">
        <v>414</v>
      </c>
      <c r="N1" s="134" t="s">
        <v>415</v>
      </c>
      <c r="O1" s="134" t="s">
        <v>414</v>
      </c>
      <c r="P1" s="134" t="s">
        <v>415</v>
      </c>
      <c r="Q1" s="134" t="s">
        <v>414</v>
      </c>
      <c r="R1" s="134" t="s">
        <v>415</v>
      </c>
      <c r="S1" s="134" t="s">
        <v>414</v>
      </c>
      <c r="T1" s="134" t="s">
        <v>415</v>
      </c>
      <c r="U1" s="134" t="s">
        <v>414</v>
      </c>
      <c r="V1" s="134" t="s">
        <v>415</v>
      </c>
      <c r="W1" s="134" t="s">
        <v>414</v>
      </c>
      <c r="X1" s="134" t="s">
        <v>415</v>
      </c>
      <c r="Y1" s="134" t="s">
        <v>414</v>
      </c>
      <c r="Z1" s="134" t="s">
        <v>415</v>
      </c>
      <c r="AA1" s="134" t="s">
        <v>414</v>
      </c>
      <c r="AB1" s="134" t="s">
        <v>415</v>
      </c>
      <c r="AC1" s="134" t="s">
        <v>414</v>
      </c>
      <c r="AD1" s="134" t="s">
        <v>415</v>
      </c>
    </row>
    <row r="2" spans="1:30" s="41" customFormat="1" ht="36" customHeight="1" x14ac:dyDescent="0.25">
      <c r="A2" s="212"/>
      <c r="B2" s="594" t="s">
        <v>1209</v>
      </c>
      <c r="C2" s="594"/>
      <c r="D2" s="594"/>
      <c r="E2" s="179"/>
      <c r="F2" s="297" t="s">
        <v>31</v>
      </c>
      <c r="G2" s="270"/>
      <c r="H2" s="142"/>
      <c r="I2" s="579" t="s">
        <v>883</v>
      </c>
      <c r="J2" s="579"/>
      <c r="K2" s="579" t="s">
        <v>882</v>
      </c>
      <c r="L2" s="579"/>
      <c r="M2" s="579" t="s">
        <v>416</v>
      </c>
      <c r="N2" s="579"/>
      <c r="O2" s="579" t="s">
        <v>312</v>
      </c>
      <c r="P2" s="579"/>
      <c r="Q2" s="579" t="s">
        <v>313</v>
      </c>
      <c r="R2" s="579"/>
      <c r="S2" s="579" t="s">
        <v>311</v>
      </c>
      <c r="T2" s="579"/>
      <c r="U2" s="579" t="s">
        <v>314</v>
      </c>
      <c r="V2" s="579"/>
      <c r="W2" s="583" t="s">
        <v>565</v>
      </c>
      <c r="X2" s="584"/>
      <c r="Y2" s="583" t="s">
        <v>887</v>
      </c>
      <c r="Z2" s="584"/>
      <c r="AA2" s="583" t="s">
        <v>888</v>
      </c>
      <c r="AB2" s="584"/>
      <c r="AC2" s="583" t="s">
        <v>889</v>
      </c>
      <c r="AD2" s="584"/>
    </row>
    <row r="3" spans="1:30" s="41" customFormat="1" x14ac:dyDescent="0.25">
      <c r="A3" s="212"/>
      <c r="B3" s="40"/>
      <c r="C3" s="418"/>
      <c r="D3" s="40"/>
      <c r="E3" s="230"/>
      <c r="F3" s="231"/>
      <c r="G3" s="232"/>
      <c r="H3" s="142"/>
      <c r="I3" s="106"/>
      <c r="J3" s="106"/>
      <c r="K3" s="106"/>
      <c r="L3" s="106"/>
      <c r="M3" s="226"/>
      <c r="N3" s="226"/>
      <c r="O3" s="106"/>
      <c r="P3" s="106"/>
      <c r="Q3" s="106"/>
      <c r="R3" s="106"/>
      <c r="S3" s="106"/>
      <c r="T3" s="106"/>
      <c r="U3" s="106"/>
      <c r="V3" s="106"/>
      <c r="W3" s="106"/>
      <c r="X3" s="106"/>
      <c r="Y3" s="106"/>
      <c r="Z3" s="106"/>
      <c r="AA3" s="106"/>
      <c r="AB3" s="106"/>
      <c r="AC3" s="106"/>
      <c r="AD3" s="106"/>
    </row>
    <row r="4" spans="1:30" ht="26" x14ac:dyDescent="0.25">
      <c r="A4" s="212"/>
      <c r="B4" s="65" t="s">
        <v>50</v>
      </c>
      <c r="C4" s="63" t="s">
        <v>51</v>
      </c>
      <c r="D4" s="65" t="s">
        <v>35</v>
      </c>
      <c r="E4" s="269" t="s">
        <v>24</v>
      </c>
      <c r="F4" s="268" t="s">
        <v>36</v>
      </c>
      <c r="G4" s="269" t="s">
        <v>656</v>
      </c>
      <c r="H4" s="142"/>
      <c r="I4" s="111" t="s">
        <v>144</v>
      </c>
      <c r="J4" s="111" t="s">
        <v>144</v>
      </c>
      <c r="K4" s="111" t="s">
        <v>144</v>
      </c>
      <c r="L4" s="111" t="s">
        <v>144</v>
      </c>
      <c r="M4" s="111" t="s">
        <v>144</v>
      </c>
      <c r="N4" s="111" t="s">
        <v>144</v>
      </c>
      <c r="O4" s="111" t="s">
        <v>144</v>
      </c>
      <c r="P4" s="111" t="s">
        <v>144</v>
      </c>
      <c r="Q4" s="111" t="s">
        <v>144</v>
      </c>
      <c r="R4" s="111" t="s">
        <v>144</v>
      </c>
      <c r="S4" s="111" t="s">
        <v>144</v>
      </c>
      <c r="T4" s="111" t="s">
        <v>144</v>
      </c>
      <c r="U4" s="111" t="s">
        <v>144</v>
      </c>
      <c r="V4" s="111" t="s">
        <v>144</v>
      </c>
      <c r="W4" s="111" t="s">
        <v>144</v>
      </c>
      <c r="X4" s="111" t="s">
        <v>144</v>
      </c>
      <c r="Y4" s="111" t="s">
        <v>144</v>
      </c>
      <c r="Z4" s="111" t="s">
        <v>144</v>
      </c>
      <c r="AA4" s="111" t="s">
        <v>144</v>
      </c>
      <c r="AB4" s="111" t="s">
        <v>144</v>
      </c>
      <c r="AC4" s="111" t="s">
        <v>144</v>
      </c>
      <c r="AD4" s="111" t="s">
        <v>144</v>
      </c>
    </row>
    <row r="5" spans="1:30" customFormat="1" ht="13" x14ac:dyDescent="0.25">
      <c r="A5" s="212" t="s">
        <v>462</v>
      </c>
      <c r="B5" s="235" t="s">
        <v>143</v>
      </c>
      <c r="C5" s="131" t="s">
        <v>291</v>
      </c>
      <c r="D5" s="574" t="s">
        <v>1165</v>
      </c>
      <c r="E5" s="575"/>
      <c r="F5" s="575"/>
      <c r="G5" s="576"/>
      <c r="H5" s="287" t="str">
        <f>HYPERLINK(CONCATENATE("http://garwiki.regn.net/mediawiki/index.php/",SUBSTITUTE(D5," ","_"),"_(golden_rule)"),"?")</f>
        <v>?</v>
      </c>
      <c r="I5" s="130" t="str">
        <f t="shared" ref="I5:AD5" si="0">I6</f>
        <v>x</v>
      </c>
      <c r="J5" s="130" t="str">
        <f t="shared" si="0"/>
        <v>x</v>
      </c>
      <c r="K5" s="130" t="str">
        <f t="shared" si="0"/>
        <v>x</v>
      </c>
      <c r="L5" s="130" t="str">
        <f t="shared" si="0"/>
        <v>x</v>
      </c>
      <c r="M5" s="130" t="str">
        <f t="shared" si="0"/>
        <v>x</v>
      </c>
      <c r="N5" s="130" t="str">
        <f t="shared" si="0"/>
        <v>x</v>
      </c>
      <c r="O5" s="130" t="str">
        <f t="shared" si="0"/>
        <v>x</v>
      </c>
      <c r="P5" s="130" t="str">
        <f t="shared" si="0"/>
        <v>x</v>
      </c>
      <c r="Q5" s="130" t="str">
        <f t="shared" si="0"/>
        <v>x</v>
      </c>
      <c r="R5" s="130" t="str">
        <f t="shared" si="0"/>
        <v>x</v>
      </c>
      <c r="S5" s="130" t="str">
        <f t="shared" si="0"/>
        <v>x</v>
      </c>
      <c r="T5" s="130" t="str">
        <f t="shared" si="0"/>
        <v>x</v>
      </c>
      <c r="U5" s="130" t="str">
        <f t="shared" si="0"/>
        <v>x</v>
      </c>
      <c r="V5" s="130" t="str">
        <f t="shared" si="0"/>
        <v>x</v>
      </c>
      <c r="W5" s="130" t="str">
        <f t="shared" si="0"/>
        <v/>
      </c>
      <c r="X5" s="130" t="str">
        <f t="shared" si="0"/>
        <v/>
      </c>
      <c r="Y5" s="130" t="str">
        <f t="shared" si="0"/>
        <v>x</v>
      </c>
      <c r="Z5" s="130" t="str">
        <f t="shared" si="0"/>
        <v>x</v>
      </c>
      <c r="AA5" s="130" t="str">
        <f t="shared" si="0"/>
        <v>x</v>
      </c>
      <c r="AB5" s="130" t="str">
        <f t="shared" si="0"/>
        <v>x</v>
      </c>
      <c r="AC5" s="130" t="str">
        <f t="shared" si="0"/>
        <v/>
      </c>
      <c r="AD5" s="130" t="str">
        <f t="shared" si="0"/>
        <v/>
      </c>
    </row>
    <row r="6" spans="1:30" x14ac:dyDescent="0.25">
      <c r="A6" s="212"/>
      <c r="B6" s="594" t="s">
        <v>1165</v>
      </c>
      <c r="C6" s="604"/>
      <c r="D6" s="594"/>
      <c r="E6" s="179"/>
      <c r="F6" s="147" t="s">
        <v>31</v>
      </c>
      <c r="G6" s="149"/>
      <c r="H6" s="142"/>
      <c r="I6" s="105" t="str">
        <f>IF(COUNTIF(I7:I10,"x")=0,"","x")</f>
        <v>x</v>
      </c>
      <c r="J6" s="105" t="str">
        <f t="shared" ref="J6:AD6" si="1">IF(COUNTIF(J7:J10,"x")=0,"","x")</f>
        <v>x</v>
      </c>
      <c r="K6" s="105" t="str">
        <f t="shared" si="1"/>
        <v>x</v>
      </c>
      <c r="L6" s="105" t="str">
        <f t="shared" si="1"/>
        <v>x</v>
      </c>
      <c r="M6" s="105" t="str">
        <f t="shared" si="1"/>
        <v>x</v>
      </c>
      <c r="N6" s="105" t="str">
        <f t="shared" si="1"/>
        <v>x</v>
      </c>
      <c r="O6" s="105" t="str">
        <f t="shared" si="1"/>
        <v>x</v>
      </c>
      <c r="P6" s="105" t="str">
        <f t="shared" si="1"/>
        <v>x</v>
      </c>
      <c r="Q6" s="105" t="str">
        <f t="shared" si="1"/>
        <v>x</v>
      </c>
      <c r="R6" s="105" t="str">
        <f t="shared" si="1"/>
        <v>x</v>
      </c>
      <c r="S6" s="105" t="str">
        <f t="shared" si="1"/>
        <v>x</v>
      </c>
      <c r="T6" s="105" t="str">
        <f t="shared" si="1"/>
        <v>x</v>
      </c>
      <c r="U6" s="105" t="str">
        <f t="shared" si="1"/>
        <v>x</v>
      </c>
      <c r="V6" s="105" t="str">
        <f t="shared" si="1"/>
        <v>x</v>
      </c>
      <c r="W6" s="105" t="str">
        <f t="shared" si="1"/>
        <v/>
      </c>
      <c r="X6" s="105" t="str">
        <f t="shared" si="1"/>
        <v/>
      </c>
      <c r="Y6" s="105" t="str">
        <f t="shared" si="1"/>
        <v>x</v>
      </c>
      <c r="Z6" s="105" t="str">
        <f t="shared" si="1"/>
        <v>x</v>
      </c>
      <c r="AA6" s="105" t="str">
        <f t="shared" si="1"/>
        <v>x</v>
      </c>
      <c r="AB6" s="105" t="str">
        <f t="shared" si="1"/>
        <v>x</v>
      </c>
      <c r="AC6" s="105" t="str">
        <f t="shared" si="1"/>
        <v/>
      </c>
      <c r="AD6" s="105" t="str">
        <f t="shared" si="1"/>
        <v/>
      </c>
    </row>
    <row r="7" spans="1:30" ht="37.5" x14ac:dyDescent="0.25">
      <c r="A7" s="212" t="s">
        <v>463</v>
      </c>
      <c r="B7" s="236" t="s">
        <v>52</v>
      </c>
      <c r="C7" s="373" t="s">
        <v>3</v>
      </c>
      <c r="D7" s="70" t="s">
        <v>1068</v>
      </c>
      <c r="E7" s="144"/>
      <c r="F7" s="296"/>
      <c r="G7" s="148"/>
      <c r="H7" s="287" t="str">
        <f>HYPERLINK(CONCATENATE("http://garwiki.regn.net/mediawiki/index.php/Scorecard_Rule_",MID(A7,FIND(":",A7)+1,9)),"?")</f>
        <v>?</v>
      </c>
      <c r="I7" s="105" t="s">
        <v>144</v>
      </c>
      <c r="J7" s="105" t="s">
        <v>144</v>
      </c>
      <c r="K7" s="105" t="s">
        <v>144</v>
      </c>
      <c r="L7" s="105" t="s">
        <v>144</v>
      </c>
      <c r="M7" s="226" t="s">
        <v>144</v>
      </c>
      <c r="N7" s="226" t="s">
        <v>144</v>
      </c>
      <c r="O7" s="105" t="s">
        <v>144</v>
      </c>
      <c r="P7" s="105" t="s">
        <v>144</v>
      </c>
      <c r="Q7" s="105" t="s">
        <v>144</v>
      </c>
      <c r="R7" s="105" t="s">
        <v>144</v>
      </c>
      <c r="S7" s="105" t="s">
        <v>144</v>
      </c>
      <c r="T7" s="105" t="s">
        <v>144</v>
      </c>
      <c r="U7" s="105" t="s">
        <v>144</v>
      </c>
      <c r="V7" s="105" t="s">
        <v>144</v>
      </c>
      <c r="W7" s="105"/>
      <c r="X7" s="105"/>
      <c r="Y7" s="105"/>
      <c r="Z7" s="105"/>
      <c r="AA7" s="105"/>
      <c r="AB7" s="105"/>
      <c r="AC7" s="105"/>
      <c r="AD7" s="105"/>
    </row>
    <row r="8" spans="1:30" s="41" customFormat="1" ht="37.5" x14ac:dyDescent="0.25">
      <c r="A8" s="212" t="s">
        <v>466</v>
      </c>
      <c r="B8" s="236" t="s">
        <v>52</v>
      </c>
      <c r="C8" s="373" t="s">
        <v>4</v>
      </c>
      <c r="D8" s="70" t="s">
        <v>1025</v>
      </c>
      <c r="E8" s="144"/>
      <c r="F8" s="296"/>
      <c r="G8" s="148"/>
      <c r="H8" s="287" t="str">
        <f>HYPERLINK(CONCATENATE("http://garwiki.regn.net/mediawiki/index.php/Scorecard_Rule_",MID(A8,FIND(":",A8)+1,9)),"?")</f>
        <v>?</v>
      </c>
      <c r="I8" s="105" t="s">
        <v>144</v>
      </c>
      <c r="J8" s="105" t="s">
        <v>144</v>
      </c>
      <c r="K8" s="105" t="s">
        <v>144</v>
      </c>
      <c r="L8" s="105" t="s">
        <v>144</v>
      </c>
      <c r="M8" s="136" t="s">
        <v>144</v>
      </c>
      <c r="N8" s="136" t="s">
        <v>144</v>
      </c>
      <c r="O8" s="105" t="s">
        <v>144</v>
      </c>
      <c r="P8" s="105" t="s">
        <v>144</v>
      </c>
      <c r="Q8" s="105" t="s">
        <v>144</v>
      </c>
      <c r="R8" s="105" t="s">
        <v>144</v>
      </c>
      <c r="S8" s="105" t="s">
        <v>144</v>
      </c>
      <c r="T8" s="105" t="s">
        <v>144</v>
      </c>
      <c r="U8" s="105" t="s">
        <v>144</v>
      </c>
      <c r="V8" s="105" t="s">
        <v>144</v>
      </c>
      <c r="W8" s="105"/>
      <c r="X8" s="105"/>
      <c r="Y8" s="106"/>
      <c r="Z8" s="106"/>
      <c r="AA8" s="106"/>
      <c r="AB8" s="106"/>
      <c r="AC8" s="106"/>
      <c r="AD8" s="106"/>
    </row>
    <row r="9" spans="1:30" s="41" customFormat="1" ht="25" x14ac:dyDescent="0.25">
      <c r="A9" s="212" t="s">
        <v>901</v>
      </c>
      <c r="B9" s="236" t="s">
        <v>52</v>
      </c>
      <c r="C9" s="373" t="s">
        <v>5</v>
      </c>
      <c r="D9" s="349" t="s">
        <v>898</v>
      </c>
      <c r="E9" s="351"/>
      <c r="F9" s="352"/>
      <c r="G9" s="353"/>
      <c r="H9" s="287" t="str">
        <f>HYPERLINK(CONCATENATE("http://garwiki.regn.net/mediawiki/index.php/Scorecard_Rule_",MID(A9,FIND(":",A9)+1,9)),"?")</f>
        <v>?</v>
      </c>
      <c r="I9" s="105"/>
      <c r="J9" s="105"/>
      <c r="K9" s="105"/>
      <c r="L9" s="105"/>
      <c r="M9" s="136"/>
      <c r="N9" s="136"/>
      <c r="O9" s="105"/>
      <c r="P9" s="105"/>
      <c r="Q9" s="105"/>
      <c r="R9" s="105"/>
      <c r="S9" s="106"/>
      <c r="T9" s="106"/>
      <c r="U9" s="105"/>
      <c r="V9" s="105"/>
      <c r="W9" s="106"/>
      <c r="X9" s="106"/>
      <c r="Y9" s="105"/>
      <c r="Z9" s="105"/>
      <c r="AA9" s="105" t="s">
        <v>144</v>
      </c>
      <c r="AB9" s="105" t="s">
        <v>144</v>
      </c>
      <c r="AC9" s="105"/>
      <c r="AD9" s="105"/>
    </row>
    <row r="10" spans="1:30" s="41" customFormat="1" ht="25" x14ac:dyDescent="0.25">
      <c r="A10" s="212" t="s">
        <v>900</v>
      </c>
      <c r="B10" s="236" t="s">
        <v>52</v>
      </c>
      <c r="C10" s="373" t="s">
        <v>743</v>
      </c>
      <c r="D10" s="349" t="s">
        <v>1026</v>
      </c>
      <c r="E10" s="351"/>
      <c r="F10" s="352"/>
      <c r="G10" s="353"/>
      <c r="H10" s="287" t="str">
        <f>HYPERLINK(CONCATENATE("http://garwiki.regn.net/mediawiki/index.php/Scorecard_Rule_",MID(A10,FIND(":",A10)+1,9)),"?")</f>
        <v>?</v>
      </c>
      <c r="I10" s="105"/>
      <c r="J10" s="105"/>
      <c r="K10" s="105"/>
      <c r="L10" s="105"/>
      <c r="M10" s="136"/>
      <c r="N10" s="136"/>
      <c r="O10" s="105"/>
      <c r="P10" s="105"/>
      <c r="Q10" s="105"/>
      <c r="R10" s="105"/>
      <c r="S10" s="106"/>
      <c r="T10" s="106"/>
      <c r="U10" s="105"/>
      <c r="V10" s="105"/>
      <c r="W10" s="106"/>
      <c r="X10" s="106"/>
      <c r="Y10" s="105" t="s">
        <v>144</v>
      </c>
      <c r="Z10" s="105" t="s">
        <v>144</v>
      </c>
      <c r="AA10" s="105" t="s">
        <v>144</v>
      </c>
      <c r="AB10" s="105" t="s">
        <v>144</v>
      </c>
      <c r="AC10" s="105"/>
      <c r="AD10" s="105"/>
    </row>
    <row r="11" spans="1:30" customFormat="1" ht="13" x14ac:dyDescent="0.25">
      <c r="A11" s="212" t="s">
        <v>467</v>
      </c>
      <c r="B11" s="235" t="s">
        <v>143</v>
      </c>
      <c r="C11" s="131" t="s">
        <v>1276</v>
      </c>
      <c r="D11" s="574" t="s">
        <v>1166</v>
      </c>
      <c r="E11" s="575"/>
      <c r="F11" s="575"/>
      <c r="G11" s="576"/>
      <c r="H11" s="287" t="str">
        <f>HYPERLINK(CONCATENATE("http://garwiki.regn.net/mediawiki/index.php/",SUBSTITUTE(D11," ","_"),"_(golden_rule)"),"?")</f>
        <v>?</v>
      </c>
      <c r="I11" s="130" t="str">
        <f t="shared" ref="I11:AD11" si="2">I12</f>
        <v/>
      </c>
      <c r="J11" s="130" t="str">
        <f t="shared" si="2"/>
        <v/>
      </c>
      <c r="K11" s="130" t="str">
        <f t="shared" si="2"/>
        <v/>
      </c>
      <c r="L11" s="130" t="str">
        <f t="shared" si="2"/>
        <v/>
      </c>
      <c r="M11" s="130" t="str">
        <f t="shared" si="2"/>
        <v/>
      </c>
      <c r="N11" s="130" t="str">
        <f t="shared" si="2"/>
        <v/>
      </c>
      <c r="O11" s="130" t="str">
        <f t="shared" si="2"/>
        <v/>
      </c>
      <c r="P11" s="130" t="str">
        <f t="shared" si="2"/>
        <v/>
      </c>
      <c r="Q11" s="130" t="str">
        <f t="shared" si="2"/>
        <v/>
      </c>
      <c r="R11" s="130" t="str">
        <f t="shared" si="2"/>
        <v/>
      </c>
      <c r="S11" s="130" t="str">
        <f t="shared" si="2"/>
        <v/>
      </c>
      <c r="T11" s="130" t="str">
        <f t="shared" si="2"/>
        <v/>
      </c>
      <c r="U11" s="130" t="str">
        <f t="shared" si="2"/>
        <v/>
      </c>
      <c r="V11" s="130" t="str">
        <f t="shared" si="2"/>
        <v/>
      </c>
      <c r="W11" s="130" t="str">
        <f t="shared" si="2"/>
        <v/>
      </c>
      <c r="X11" s="130" t="str">
        <f t="shared" si="2"/>
        <v/>
      </c>
      <c r="Y11" s="130" t="str">
        <f t="shared" si="2"/>
        <v>x</v>
      </c>
      <c r="Z11" s="130" t="str">
        <f t="shared" si="2"/>
        <v>x</v>
      </c>
      <c r="AA11" s="130" t="str">
        <f t="shared" si="2"/>
        <v>x</v>
      </c>
      <c r="AB11" s="130" t="str">
        <f t="shared" si="2"/>
        <v>x</v>
      </c>
      <c r="AC11" s="130" t="str">
        <f t="shared" si="2"/>
        <v>x</v>
      </c>
      <c r="AD11" s="130" t="str">
        <f t="shared" si="2"/>
        <v>x</v>
      </c>
    </row>
    <row r="12" spans="1:30" x14ac:dyDescent="0.25">
      <c r="A12" s="212"/>
      <c r="B12" s="594" t="s">
        <v>1166</v>
      </c>
      <c r="C12" s="604"/>
      <c r="D12" s="594"/>
      <c r="E12" s="179"/>
      <c r="F12" s="147" t="s">
        <v>31</v>
      </c>
      <c r="G12" s="150"/>
      <c r="H12" s="287"/>
      <c r="I12" s="105" t="str">
        <f>IF(COUNTIF(I13:I16,"x")=0,"","x")</f>
        <v/>
      </c>
      <c r="J12" s="105" t="str">
        <f t="shared" ref="J12:AD12" si="3">IF(COUNTIF(J13:J16,"x")=0,"","x")</f>
        <v/>
      </c>
      <c r="K12" s="105" t="str">
        <f t="shared" si="3"/>
        <v/>
      </c>
      <c r="L12" s="105" t="str">
        <f t="shared" si="3"/>
        <v/>
      </c>
      <c r="M12" s="105" t="str">
        <f t="shared" si="3"/>
        <v/>
      </c>
      <c r="N12" s="105" t="str">
        <f t="shared" si="3"/>
        <v/>
      </c>
      <c r="O12" s="105" t="str">
        <f t="shared" si="3"/>
        <v/>
      </c>
      <c r="P12" s="105" t="str">
        <f t="shared" si="3"/>
        <v/>
      </c>
      <c r="Q12" s="105" t="str">
        <f t="shared" si="3"/>
        <v/>
      </c>
      <c r="R12" s="105" t="str">
        <f t="shared" si="3"/>
        <v/>
      </c>
      <c r="S12" s="105" t="str">
        <f t="shared" si="3"/>
        <v/>
      </c>
      <c r="T12" s="105" t="str">
        <f t="shared" si="3"/>
        <v/>
      </c>
      <c r="U12" s="105" t="str">
        <f t="shared" si="3"/>
        <v/>
      </c>
      <c r="V12" s="105" t="str">
        <f t="shared" si="3"/>
        <v/>
      </c>
      <c r="W12" s="105" t="str">
        <f t="shared" si="3"/>
        <v/>
      </c>
      <c r="X12" s="105" t="str">
        <f t="shared" si="3"/>
        <v/>
      </c>
      <c r="Y12" s="105" t="str">
        <f t="shared" si="3"/>
        <v>x</v>
      </c>
      <c r="Z12" s="105" t="str">
        <f t="shared" si="3"/>
        <v>x</v>
      </c>
      <c r="AA12" s="105" t="str">
        <f t="shared" si="3"/>
        <v>x</v>
      </c>
      <c r="AB12" s="105" t="str">
        <f t="shared" si="3"/>
        <v>x</v>
      </c>
      <c r="AC12" s="105" t="str">
        <f t="shared" si="3"/>
        <v>x</v>
      </c>
      <c r="AD12" s="105" t="str">
        <f t="shared" si="3"/>
        <v>x</v>
      </c>
    </row>
    <row r="13" spans="1:30" ht="37.5" x14ac:dyDescent="0.25">
      <c r="A13" s="212" t="s">
        <v>823</v>
      </c>
      <c r="B13" s="236" t="s">
        <v>52</v>
      </c>
      <c r="C13" s="373" t="s">
        <v>6</v>
      </c>
      <c r="D13" s="70" t="s">
        <v>1069</v>
      </c>
      <c r="E13" s="144"/>
      <c r="F13" s="296"/>
      <c r="G13" s="148"/>
      <c r="H13" s="287" t="str">
        <f>HYPERLINK(CONCATENATE("http://garwiki.regn.net/mediawiki/index.php/Scorecard_Rule_",MID(A13,FIND(":",A13)+1,9)),"?")</f>
        <v>?</v>
      </c>
      <c r="I13" s="105"/>
      <c r="J13" s="105"/>
      <c r="K13" s="105"/>
      <c r="L13" s="105"/>
      <c r="M13" s="308"/>
      <c r="N13" s="308"/>
      <c r="O13" s="105"/>
      <c r="P13" s="105"/>
      <c r="Q13" s="105"/>
      <c r="R13" s="105"/>
      <c r="S13" s="105"/>
      <c r="T13" s="105"/>
      <c r="U13" s="105"/>
      <c r="V13" s="105"/>
      <c r="W13" s="105"/>
      <c r="X13" s="105"/>
      <c r="Y13" s="105"/>
      <c r="Z13" s="105" t="s">
        <v>144</v>
      </c>
      <c r="AA13" s="105"/>
      <c r="AB13" s="105" t="s">
        <v>144</v>
      </c>
      <c r="AC13" s="105"/>
      <c r="AD13" s="105" t="s">
        <v>144</v>
      </c>
    </row>
    <row r="14" spans="1:30" ht="37.5" x14ac:dyDescent="0.25">
      <c r="A14" s="212" t="s">
        <v>469</v>
      </c>
      <c r="B14" s="236" t="s">
        <v>52</v>
      </c>
      <c r="C14" s="373" t="s">
        <v>190</v>
      </c>
      <c r="D14" s="70" t="s">
        <v>899</v>
      </c>
      <c r="E14" s="144"/>
      <c r="F14" s="296"/>
      <c r="G14" s="148"/>
      <c r="H14" s="287" t="str">
        <f>HYPERLINK(CONCATENATE("http://garwiki.regn.net/mediawiki/index.php/Scorecard_Rule_",MID(A14,FIND(":",A14)+1,9)),"?")</f>
        <v>?</v>
      </c>
      <c r="I14" s="105"/>
      <c r="J14" s="106"/>
      <c r="K14" s="105"/>
      <c r="L14" s="106"/>
      <c r="M14" s="226"/>
      <c r="N14" s="226"/>
      <c r="O14" s="106"/>
      <c r="P14" s="105"/>
      <c r="Q14" s="106"/>
      <c r="R14" s="105"/>
      <c r="S14" s="106"/>
      <c r="T14" s="105"/>
      <c r="U14" s="106"/>
      <c r="V14" s="105"/>
      <c r="W14" s="105"/>
      <c r="X14" s="105"/>
      <c r="Y14" s="345" t="s">
        <v>144</v>
      </c>
      <c r="Z14" s="345" t="s">
        <v>144</v>
      </c>
      <c r="AA14" s="345" t="s">
        <v>144</v>
      </c>
      <c r="AB14" s="345" t="s">
        <v>144</v>
      </c>
      <c r="AC14" s="345" t="s">
        <v>144</v>
      </c>
      <c r="AD14" s="345" t="s">
        <v>144</v>
      </c>
    </row>
    <row r="15" spans="1:30" ht="25" x14ac:dyDescent="0.25">
      <c r="A15" s="212" t="s">
        <v>470</v>
      </c>
      <c r="B15" s="236" t="s">
        <v>52</v>
      </c>
      <c r="C15" s="373" t="s">
        <v>191</v>
      </c>
      <c r="D15" s="70" t="s">
        <v>216</v>
      </c>
      <c r="E15" s="144"/>
      <c r="F15" s="296"/>
      <c r="G15" s="148"/>
      <c r="H15" s="287" t="str">
        <f>HYPERLINK(CONCATENATE("http://garwiki.regn.net/mediawiki/index.php/Scorecard_Rule_",MID(A15,FIND(":",A15)+1,9)),"?")</f>
        <v>?</v>
      </c>
      <c r="I15" s="105"/>
      <c r="J15" s="106"/>
      <c r="K15" s="105"/>
      <c r="L15" s="106"/>
      <c r="M15" s="226"/>
      <c r="N15" s="226"/>
      <c r="O15" s="106"/>
      <c r="P15" s="105"/>
      <c r="Q15" s="106"/>
      <c r="R15" s="105"/>
      <c r="S15" s="106"/>
      <c r="T15" s="105"/>
      <c r="U15" s="106"/>
      <c r="V15" s="105"/>
      <c r="W15" s="105"/>
      <c r="X15" s="105"/>
      <c r="Y15" s="345" t="s">
        <v>144</v>
      </c>
      <c r="Z15" s="345" t="s">
        <v>144</v>
      </c>
      <c r="AA15" s="345" t="s">
        <v>144</v>
      </c>
      <c r="AB15" s="345" t="s">
        <v>144</v>
      </c>
      <c r="AC15" s="345" t="s">
        <v>144</v>
      </c>
      <c r="AD15" s="345" t="s">
        <v>144</v>
      </c>
    </row>
    <row r="16" spans="1:30" ht="25" x14ac:dyDescent="0.25">
      <c r="A16" s="212" t="s">
        <v>471</v>
      </c>
      <c r="B16" s="236" t="s">
        <v>52</v>
      </c>
      <c r="C16" s="373" t="s">
        <v>1277</v>
      </c>
      <c r="D16" s="70" t="s">
        <v>217</v>
      </c>
      <c r="E16" s="144"/>
      <c r="F16" s="296"/>
      <c r="G16" s="148"/>
      <c r="H16" s="287" t="str">
        <f>HYPERLINK(CONCATENATE("http://garwiki.regn.net/mediawiki/index.php/Scorecard_Rule_",MID(A16,FIND(":",A16)+1,9)),"?")</f>
        <v>?</v>
      </c>
      <c r="I16" s="105"/>
      <c r="J16" s="106"/>
      <c r="K16" s="105"/>
      <c r="L16" s="106"/>
      <c r="M16" s="226"/>
      <c r="N16" s="226"/>
      <c r="O16" s="106"/>
      <c r="P16" s="105"/>
      <c r="Q16" s="106"/>
      <c r="R16" s="105"/>
      <c r="S16" s="106"/>
      <c r="T16" s="105"/>
      <c r="U16" s="106"/>
      <c r="V16" s="105"/>
      <c r="W16" s="105"/>
      <c r="X16" s="105"/>
      <c r="Y16" s="345" t="s">
        <v>144</v>
      </c>
      <c r="Z16" s="345" t="s">
        <v>144</v>
      </c>
      <c r="AA16" s="345" t="s">
        <v>144</v>
      </c>
      <c r="AB16" s="345" t="s">
        <v>144</v>
      </c>
      <c r="AC16" s="345" t="s">
        <v>144</v>
      </c>
      <c r="AD16" s="345" t="s">
        <v>144</v>
      </c>
    </row>
    <row r="17" spans="1:34" customFormat="1" ht="13" x14ac:dyDescent="0.25">
      <c r="A17" s="212" t="s">
        <v>1090</v>
      </c>
      <c r="B17" s="235" t="s">
        <v>143</v>
      </c>
      <c r="C17" s="131" t="s">
        <v>1278</v>
      </c>
      <c r="D17" s="251" t="s">
        <v>1167</v>
      </c>
      <c r="E17" s="252"/>
      <c r="F17" s="252"/>
      <c r="G17" s="253"/>
      <c r="H17" s="287" t="str">
        <f>HYPERLINK(CONCATENATE("http://garwiki.regn.net/mediawiki/index.php/",SUBSTITUTE(D17," ","_"),"_(golden_rule)"),"?")</f>
        <v>?</v>
      </c>
      <c r="I17" s="130" t="str">
        <f t="shared" ref="I17:AD17" si="4">I18</f>
        <v/>
      </c>
      <c r="J17" s="130" t="str">
        <f t="shared" si="4"/>
        <v/>
      </c>
      <c r="K17" s="130" t="str">
        <f t="shared" si="4"/>
        <v/>
      </c>
      <c r="L17" s="130" t="str">
        <f t="shared" si="4"/>
        <v/>
      </c>
      <c r="M17" s="130" t="str">
        <f t="shared" si="4"/>
        <v/>
      </c>
      <c r="N17" s="130" t="str">
        <f t="shared" si="4"/>
        <v/>
      </c>
      <c r="O17" s="130" t="str">
        <f t="shared" si="4"/>
        <v/>
      </c>
      <c r="P17" s="130" t="str">
        <f t="shared" si="4"/>
        <v/>
      </c>
      <c r="Q17" s="130" t="str">
        <f t="shared" si="4"/>
        <v/>
      </c>
      <c r="R17" s="130" t="str">
        <f t="shared" si="4"/>
        <v/>
      </c>
      <c r="S17" s="130" t="str">
        <f t="shared" si="4"/>
        <v/>
      </c>
      <c r="T17" s="130" t="str">
        <f t="shared" si="4"/>
        <v/>
      </c>
      <c r="U17" s="130" t="str">
        <f t="shared" si="4"/>
        <v/>
      </c>
      <c r="V17" s="130" t="str">
        <f t="shared" si="4"/>
        <v/>
      </c>
      <c r="W17" s="130" t="str">
        <f t="shared" si="4"/>
        <v/>
      </c>
      <c r="X17" s="130" t="str">
        <f t="shared" si="4"/>
        <v/>
      </c>
      <c r="Y17" s="130" t="str">
        <f t="shared" si="4"/>
        <v>x</v>
      </c>
      <c r="Z17" s="130" t="str">
        <f t="shared" si="4"/>
        <v>x</v>
      </c>
      <c r="AA17" s="130" t="str">
        <f t="shared" si="4"/>
        <v>x</v>
      </c>
      <c r="AB17" s="130" t="str">
        <f t="shared" si="4"/>
        <v>x</v>
      </c>
      <c r="AC17" s="130" t="str">
        <f t="shared" si="4"/>
        <v>x</v>
      </c>
      <c r="AD17" s="130" t="str">
        <f t="shared" si="4"/>
        <v>x</v>
      </c>
    </row>
    <row r="18" spans="1:34" x14ac:dyDescent="0.25">
      <c r="A18" s="212"/>
      <c r="B18" s="594" t="s">
        <v>1167</v>
      </c>
      <c r="C18" s="604"/>
      <c r="D18" s="594"/>
      <c r="E18" s="179"/>
      <c r="F18" s="147" t="s">
        <v>31</v>
      </c>
      <c r="G18" s="150"/>
      <c r="H18" s="287"/>
      <c r="I18" s="105" t="str">
        <f>IF(COUNTIF(I19:I21,"x")=0,"","x")</f>
        <v/>
      </c>
      <c r="J18" s="105" t="str">
        <f t="shared" ref="J18:AD18" si="5">IF(COUNTIF(J19:J21,"x")=0,"","x")</f>
        <v/>
      </c>
      <c r="K18" s="105" t="str">
        <f t="shared" si="5"/>
        <v/>
      </c>
      <c r="L18" s="105" t="str">
        <f t="shared" si="5"/>
        <v/>
      </c>
      <c r="M18" s="105" t="str">
        <f t="shared" si="5"/>
        <v/>
      </c>
      <c r="N18" s="105" t="str">
        <f t="shared" si="5"/>
        <v/>
      </c>
      <c r="O18" s="105" t="str">
        <f t="shared" si="5"/>
        <v/>
      </c>
      <c r="P18" s="105" t="str">
        <f t="shared" si="5"/>
        <v/>
      </c>
      <c r="Q18" s="105" t="str">
        <f t="shared" si="5"/>
        <v/>
      </c>
      <c r="R18" s="105" t="str">
        <f t="shared" si="5"/>
        <v/>
      </c>
      <c r="S18" s="105" t="str">
        <f t="shared" si="5"/>
        <v/>
      </c>
      <c r="T18" s="105" t="str">
        <f t="shared" si="5"/>
        <v/>
      </c>
      <c r="U18" s="105" t="str">
        <f t="shared" si="5"/>
        <v/>
      </c>
      <c r="V18" s="105" t="str">
        <f t="shared" si="5"/>
        <v/>
      </c>
      <c r="W18" s="105" t="str">
        <f t="shared" si="5"/>
        <v/>
      </c>
      <c r="X18" s="105" t="str">
        <f t="shared" si="5"/>
        <v/>
      </c>
      <c r="Y18" s="105" t="str">
        <f t="shared" si="5"/>
        <v>x</v>
      </c>
      <c r="Z18" s="105" t="str">
        <f t="shared" si="5"/>
        <v>x</v>
      </c>
      <c r="AA18" s="105" t="str">
        <f t="shared" si="5"/>
        <v>x</v>
      </c>
      <c r="AB18" s="105" t="str">
        <f t="shared" si="5"/>
        <v>x</v>
      </c>
      <c r="AC18" s="105" t="str">
        <f t="shared" si="5"/>
        <v>x</v>
      </c>
      <c r="AD18" s="105" t="str">
        <f t="shared" si="5"/>
        <v>x</v>
      </c>
    </row>
    <row r="19" spans="1:34" ht="25" x14ac:dyDescent="0.25">
      <c r="A19" s="212" t="s">
        <v>464</v>
      </c>
      <c r="B19" s="236" t="s">
        <v>52</v>
      </c>
      <c r="C19" s="373" t="s">
        <v>1279</v>
      </c>
      <c r="D19" s="70" t="s">
        <v>1075</v>
      </c>
      <c r="E19" s="144"/>
      <c r="F19" s="296"/>
      <c r="G19" s="148"/>
      <c r="H19" s="287" t="str">
        <f>HYPERLINK(CONCATENATE("http://garwiki.regn.net/mediawiki/index.php/Scorecard_Rule_",MID(A19,FIND(":",A19)+1,9)),"?")</f>
        <v>?</v>
      </c>
      <c r="I19" s="105"/>
      <c r="J19" s="105"/>
      <c r="K19" s="105"/>
      <c r="L19" s="105"/>
      <c r="M19" s="226"/>
      <c r="N19" s="226"/>
      <c r="O19" s="105"/>
      <c r="P19" s="105"/>
      <c r="Q19" s="105"/>
      <c r="R19" s="105"/>
      <c r="S19" s="105"/>
      <c r="T19" s="105"/>
      <c r="U19" s="105"/>
      <c r="V19" s="105"/>
      <c r="W19" s="105"/>
      <c r="X19" s="105"/>
      <c r="Y19" s="105" t="s">
        <v>144</v>
      </c>
      <c r="Z19" s="105" t="s">
        <v>144</v>
      </c>
      <c r="AA19" s="105" t="s">
        <v>144</v>
      </c>
      <c r="AB19" s="105" t="s">
        <v>144</v>
      </c>
      <c r="AC19" s="105" t="s">
        <v>144</v>
      </c>
      <c r="AD19" s="105" t="s">
        <v>144</v>
      </c>
    </row>
    <row r="20" spans="1:34" s="41" customFormat="1" ht="50" x14ac:dyDescent="0.25">
      <c r="A20" s="212" t="s">
        <v>824</v>
      </c>
      <c r="B20" s="236" t="s">
        <v>52</v>
      </c>
      <c r="C20" s="373" t="s">
        <v>1280</v>
      </c>
      <c r="D20" s="349" t="s">
        <v>1078</v>
      </c>
      <c r="E20" s="351"/>
      <c r="F20" s="352"/>
      <c r="G20" s="353"/>
      <c r="H20" s="287" t="str">
        <f>HYPERLINK(CONCATENATE("http://garwiki.regn.net/mediawiki/index.php/Scorecard_Rule_",MID(A20,FIND(":",A20)+1,9)),"?")</f>
        <v>?</v>
      </c>
      <c r="I20" s="105"/>
      <c r="J20" s="105"/>
      <c r="K20" s="105"/>
      <c r="L20" s="105"/>
      <c r="M20" s="136"/>
      <c r="N20" s="136"/>
      <c r="O20" s="105"/>
      <c r="P20" s="105"/>
      <c r="Q20" s="105"/>
      <c r="R20" s="105"/>
      <c r="S20" s="106"/>
      <c r="T20" s="106"/>
      <c r="U20" s="105"/>
      <c r="V20" s="105"/>
      <c r="W20" s="106"/>
      <c r="X20" s="106"/>
      <c r="Y20" s="105"/>
      <c r="Z20" s="105" t="s">
        <v>144</v>
      </c>
      <c r="AA20" s="105"/>
      <c r="AB20" s="105"/>
      <c r="AC20" s="105"/>
      <c r="AD20" s="105" t="s">
        <v>144</v>
      </c>
    </row>
    <row r="21" spans="1:34" ht="25" x14ac:dyDescent="0.25">
      <c r="A21" s="212" t="s">
        <v>465</v>
      </c>
      <c r="B21" s="236" t="s">
        <v>52</v>
      </c>
      <c r="C21" s="373" t="s">
        <v>1281</v>
      </c>
      <c r="D21" s="70" t="s">
        <v>195</v>
      </c>
      <c r="E21" s="144"/>
      <c r="F21" s="296"/>
      <c r="G21" s="148"/>
      <c r="H21" s="287" t="str">
        <f>HYPERLINK(CONCATENATE("http://garwiki.regn.net/mediawiki/index.php/Scorecard_Rule_",MID(A21,FIND(":",A21)+1,9)),"?")</f>
        <v>?</v>
      </c>
      <c r="I21" s="105"/>
      <c r="J21" s="106"/>
      <c r="K21" s="105"/>
      <c r="L21" s="106"/>
      <c r="M21" s="226"/>
      <c r="N21" s="226"/>
      <c r="O21" s="106"/>
      <c r="P21" s="106"/>
      <c r="Q21" s="106"/>
      <c r="R21" s="106"/>
      <c r="S21" s="106"/>
      <c r="T21" s="106"/>
      <c r="U21" s="106"/>
      <c r="V21" s="106"/>
      <c r="W21" s="106"/>
      <c r="X21" s="106"/>
      <c r="Y21" s="105" t="s">
        <v>144</v>
      </c>
      <c r="Z21" s="105" t="s">
        <v>144</v>
      </c>
      <c r="AA21" s="105" t="s">
        <v>144</v>
      </c>
      <c r="AB21" s="105" t="s">
        <v>144</v>
      </c>
      <c r="AC21" s="105"/>
      <c r="AD21" s="105"/>
    </row>
    <row r="22" spans="1:34" customFormat="1" ht="26" x14ac:dyDescent="0.25">
      <c r="A22" s="212" t="s">
        <v>1091</v>
      </c>
      <c r="B22" s="235" t="s">
        <v>143</v>
      </c>
      <c r="C22" s="131" t="s">
        <v>1282</v>
      </c>
      <c r="D22" s="415" t="s">
        <v>1168</v>
      </c>
      <c r="E22" s="416"/>
      <c r="F22" s="416"/>
      <c r="G22" s="417"/>
      <c r="H22" s="287" t="str">
        <f>HYPERLINK(CONCATENATE("http://garwiki.regn.net/mediawiki/index.php/",SUBSTITUTE(D22," ","_"),"_(golden_rule)"),"?")</f>
        <v>?</v>
      </c>
      <c r="I22" s="130" t="str">
        <f t="shared" ref="I22:AD22" si="6">I23</f>
        <v>x</v>
      </c>
      <c r="J22" s="130" t="str">
        <f t="shared" si="6"/>
        <v>x</v>
      </c>
      <c r="K22" s="130" t="str">
        <f t="shared" si="6"/>
        <v>x</v>
      </c>
      <c r="L22" s="130" t="str">
        <f t="shared" si="6"/>
        <v>x</v>
      </c>
      <c r="M22" s="130" t="str">
        <f t="shared" si="6"/>
        <v>x</v>
      </c>
      <c r="N22" s="130" t="str">
        <f t="shared" si="6"/>
        <v>x</v>
      </c>
      <c r="O22" s="130" t="str">
        <f t="shared" si="6"/>
        <v>x</v>
      </c>
      <c r="P22" s="130" t="str">
        <f t="shared" si="6"/>
        <v>x</v>
      </c>
      <c r="Q22" s="130" t="str">
        <f t="shared" si="6"/>
        <v>x</v>
      </c>
      <c r="R22" s="130" t="str">
        <f t="shared" si="6"/>
        <v>x</v>
      </c>
      <c r="S22" s="130" t="str">
        <f t="shared" si="6"/>
        <v>x</v>
      </c>
      <c r="T22" s="130" t="str">
        <f t="shared" si="6"/>
        <v>x</v>
      </c>
      <c r="U22" s="130" t="str">
        <f t="shared" si="6"/>
        <v>x</v>
      </c>
      <c r="V22" s="130" t="str">
        <f t="shared" si="6"/>
        <v>x</v>
      </c>
      <c r="W22" s="130" t="str">
        <f t="shared" si="6"/>
        <v/>
      </c>
      <c r="X22" s="130" t="str">
        <f t="shared" si="6"/>
        <v/>
      </c>
      <c r="Y22" s="130" t="str">
        <f t="shared" si="6"/>
        <v>x</v>
      </c>
      <c r="Z22" s="130" t="str">
        <f t="shared" si="6"/>
        <v>x</v>
      </c>
      <c r="AA22" s="130" t="str">
        <f t="shared" si="6"/>
        <v>x</v>
      </c>
      <c r="AB22" s="130" t="str">
        <f t="shared" si="6"/>
        <v>x</v>
      </c>
      <c r="AC22" s="130" t="str">
        <f t="shared" si="6"/>
        <v>x</v>
      </c>
      <c r="AD22" s="130" t="str">
        <f t="shared" si="6"/>
        <v>x</v>
      </c>
    </row>
    <row r="23" spans="1:34" x14ac:dyDescent="0.25">
      <c r="A23" s="212"/>
      <c r="B23" s="594" t="s">
        <v>1168</v>
      </c>
      <c r="C23" s="604"/>
      <c r="D23" s="594"/>
      <c r="E23" s="179"/>
      <c r="F23" s="147" t="s">
        <v>31</v>
      </c>
      <c r="G23" s="150"/>
      <c r="H23" s="287"/>
      <c r="I23" s="105" t="str">
        <f>IF(COUNTIF(I24:I25,"x")=0,"","x")</f>
        <v>x</v>
      </c>
      <c r="J23" s="105" t="str">
        <f t="shared" ref="J23:AD23" si="7">IF(COUNTIF(J24:J25,"x")=0,"","x")</f>
        <v>x</v>
      </c>
      <c r="K23" s="105" t="str">
        <f t="shared" si="7"/>
        <v>x</v>
      </c>
      <c r="L23" s="105" t="str">
        <f t="shared" si="7"/>
        <v>x</v>
      </c>
      <c r="M23" s="105" t="str">
        <f t="shared" si="7"/>
        <v>x</v>
      </c>
      <c r="N23" s="105" t="str">
        <f t="shared" si="7"/>
        <v>x</v>
      </c>
      <c r="O23" s="105" t="str">
        <f t="shared" si="7"/>
        <v>x</v>
      </c>
      <c r="P23" s="105" t="str">
        <f t="shared" si="7"/>
        <v>x</v>
      </c>
      <c r="Q23" s="105" t="str">
        <f t="shared" si="7"/>
        <v>x</v>
      </c>
      <c r="R23" s="105" t="str">
        <f t="shared" si="7"/>
        <v>x</v>
      </c>
      <c r="S23" s="105" t="str">
        <f t="shared" si="7"/>
        <v>x</v>
      </c>
      <c r="T23" s="105" t="str">
        <f t="shared" si="7"/>
        <v>x</v>
      </c>
      <c r="U23" s="105" t="str">
        <f t="shared" si="7"/>
        <v>x</v>
      </c>
      <c r="V23" s="105" t="str">
        <f t="shared" si="7"/>
        <v>x</v>
      </c>
      <c r="W23" s="105" t="str">
        <f t="shared" si="7"/>
        <v/>
      </c>
      <c r="X23" s="105" t="str">
        <f t="shared" si="7"/>
        <v/>
      </c>
      <c r="Y23" s="105" t="str">
        <f t="shared" si="7"/>
        <v>x</v>
      </c>
      <c r="Z23" s="105" t="str">
        <f t="shared" si="7"/>
        <v>x</v>
      </c>
      <c r="AA23" s="105" t="str">
        <f t="shared" si="7"/>
        <v>x</v>
      </c>
      <c r="AB23" s="105" t="str">
        <f t="shared" si="7"/>
        <v>x</v>
      </c>
      <c r="AC23" s="105" t="str">
        <f t="shared" si="7"/>
        <v>x</v>
      </c>
      <c r="AD23" s="105" t="str">
        <f t="shared" si="7"/>
        <v>x</v>
      </c>
    </row>
    <row r="24" spans="1:34" s="228" customFormat="1" ht="37.5" x14ac:dyDescent="0.25">
      <c r="A24" s="212" t="s">
        <v>468</v>
      </c>
      <c r="B24" s="236" t="s">
        <v>52</v>
      </c>
      <c r="C24" s="373" t="s">
        <v>1283</v>
      </c>
      <c r="D24" s="349" t="s">
        <v>1074</v>
      </c>
      <c r="E24" s="144"/>
      <c r="F24" s="296"/>
      <c r="G24" s="148"/>
      <c r="H24" s="287" t="str">
        <f>HYPERLINK(CONCATENATE("http://garwiki.regn.net/mediawiki/index.php/Scorecard_Rule_",MID(A24,FIND(":",A24)+1,9)),"?")</f>
        <v>?</v>
      </c>
      <c r="I24" s="105" t="s">
        <v>144</v>
      </c>
      <c r="J24" s="105" t="s">
        <v>144</v>
      </c>
      <c r="K24" s="105" t="s">
        <v>144</v>
      </c>
      <c r="L24" s="105" t="s">
        <v>144</v>
      </c>
      <c r="M24" s="136" t="s">
        <v>144</v>
      </c>
      <c r="N24" s="136" t="s">
        <v>144</v>
      </c>
      <c r="O24" s="105" t="s">
        <v>144</v>
      </c>
      <c r="P24" s="105" t="s">
        <v>144</v>
      </c>
      <c r="Q24" s="105" t="s">
        <v>144</v>
      </c>
      <c r="R24" s="105" t="s">
        <v>144</v>
      </c>
      <c r="S24" s="105" t="s">
        <v>144</v>
      </c>
      <c r="T24" s="105" t="s">
        <v>144</v>
      </c>
      <c r="U24" s="105" t="s">
        <v>144</v>
      </c>
      <c r="V24" s="105" t="s">
        <v>144</v>
      </c>
      <c r="W24" s="105"/>
      <c r="X24" s="105"/>
      <c r="Y24" s="345"/>
      <c r="Z24" s="345"/>
      <c r="AA24" s="345"/>
      <c r="AB24" s="345"/>
      <c r="AC24" s="345"/>
      <c r="AD24" s="345"/>
    </row>
    <row r="25" spans="1:34" ht="37.5" x14ac:dyDescent="0.25">
      <c r="A25" s="212" t="s">
        <v>916</v>
      </c>
      <c r="B25" s="236" t="s">
        <v>52</v>
      </c>
      <c r="C25" s="373" t="s">
        <v>1284</v>
      </c>
      <c r="D25" s="349" t="s">
        <v>915</v>
      </c>
      <c r="E25" s="144"/>
      <c r="F25" s="296"/>
      <c r="G25" s="148"/>
      <c r="H25" s="287" t="str">
        <f>HYPERLINK(CONCATENATE("http://garwiki.regn.net/mediawiki/index.php/Scorecard_Rule_",MID(A25,FIND(":",A25)+1,9)),"?")</f>
        <v>?</v>
      </c>
      <c r="I25" s="105"/>
      <c r="J25" s="106"/>
      <c r="K25" s="105"/>
      <c r="L25" s="105"/>
      <c r="M25" s="136"/>
      <c r="N25" s="136"/>
      <c r="O25" s="106"/>
      <c r="P25" s="105"/>
      <c r="Q25" s="106"/>
      <c r="R25" s="105"/>
      <c r="S25" s="106"/>
      <c r="T25" s="105"/>
      <c r="U25" s="105"/>
      <c r="V25" s="105"/>
      <c r="W25" s="105"/>
      <c r="X25" s="105"/>
      <c r="Y25" s="345" t="s">
        <v>144</v>
      </c>
      <c r="Z25" s="345" t="s">
        <v>144</v>
      </c>
      <c r="AA25" s="359" t="s">
        <v>144</v>
      </c>
      <c r="AB25" s="359" t="s">
        <v>144</v>
      </c>
      <c r="AC25" s="345" t="s">
        <v>144</v>
      </c>
      <c r="AD25" s="345" t="s">
        <v>144</v>
      </c>
    </row>
    <row r="26" spans="1:34" ht="26" x14ac:dyDescent="0.25">
      <c r="A26" s="212" t="s">
        <v>472</v>
      </c>
      <c r="B26" s="235"/>
      <c r="C26" s="131" t="s">
        <v>1285</v>
      </c>
      <c r="D26" s="415" t="s">
        <v>1169</v>
      </c>
      <c r="E26" s="235"/>
      <c r="F26" s="131"/>
      <c r="G26" s="415"/>
      <c r="H26" s="287" t="str">
        <f>HYPERLINK(CONCATENATE("http://garwiki.regn.net/mediawiki/index.php/",SUBSTITUTE(D26," ","_"),"_(golden_rule)"),"?")</f>
        <v>?</v>
      </c>
      <c r="I26" s="238" t="str">
        <f t="shared" ref="I26:AD26" si="8">I27</f>
        <v/>
      </c>
      <c r="J26" s="238" t="str">
        <f t="shared" si="8"/>
        <v/>
      </c>
      <c r="K26" s="238" t="str">
        <f t="shared" si="8"/>
        <v/>
      </c>
      <c r="L26" s="238" t="str">
        <f t="shared" si="8"/>
        <v/>
      </c>
      <c r="M26" s="238" t="str">
        <f t="shared" si="8"/>
        <v/>
      </c>
      <c r="N26" s="238" t="str">
        <f t="shared" si="8"/>
        <v/>
      </c>
      <c r="O26" s="238" t="str">
        <f t="shared" si="8"/>
        <v/>
      </c>
      <c r="P26" s="238" t="str">
        <f t="shared" si="8"/>
        <v/>
      </c>
      <c r="Q26" s="238" t="str">
        <f t="shared" si="8"/>
        <v/>
      </c>
      <c r="R26" s="238" t="str">
        <f t="shared" si="8"/>
        <v/>
      </c>
      <c r="S26" s="238" t="str">
        <f t="shared" si="8"/>
        <v/>
      </c>
      <c r="T26" s="238" t="str">
        <f t="shared" si="8"/>
        <v/>
      </c>
      <c r="U26" s="238" t="str">
        <f t="shared" si="8"/>
        <v/>
      </c>
      <c r="V26" s="238" t="str">
        <f t="shared" si="8"/>
        <v/>
      </c>
      <c r="W26" s="238" t="str">
        <f t="shared" si="8"/>
        <v/>
      </c>
      <c r="X26" s="238" t="str">
        <f t="shared" si="8"/>
        <v/>
      </c>
      <c r="Y26" s="238" t="str">
        <f t="shared" si="8"/>
        <v>x</v>
      </c>
      <c r="Z26" s="238" t="str">
        <f t="shared" si="8"/>
        <v>x</v>
      </c>
      <c r="AA26" s="238" t="str">
        <f t="shared" si="8"/>
        <v>x</v>
      </c>
      <c r="AB26" s="238" t="str">
        <f t="shared" si="8"/>
        <v>x</v>
      </c>
      <c r="AC26" s="238" t="str">
        <f t="shared" si="8"/>
        <v>x</v>
      </c>
      <c r="AD26" s="238" t="str">
        <f t="shared" si="8"/>
        <v>x</v>
      </c>
    </row>
    <row r="27" spans="1:34" x14ac:dyDescent="0.25">
      <c r="A27" s="212"/>
      <c r="B27" s="594" t="s">
        <v>1169</v>
      </c>
      <c r="C27" s="604"/>
      <c r="D27" s="594"/>
      <c r="E27" s="179"/>
      <c r="F27" s="147" t="s">
        <v>31</v>
      </c>
      <c r="G27" s="150"/>
      <c r="H27" s="42"/>
      <c r="I27" s="105" t="str">
        <f>IF(COUNTIF(I28:I29,"x")=0,"","x")</f>
        <v/>
      </c>
      <c r="J27" s="105" t="str">
        <f t="shared" ref="J27:AD27" si="9">IF(COUNTIF(J28:J29,"x")=0,"","x")</f>
        <v/>
      </c>
      <c r="K27" s="105" t="str">
        <f t="shared" si="9"/>
        <v/>
      </c>
      <c r="L27" s="105" t="str">
        <f t="shared" si="9"/>
        <v/>
      </c>
      <c r="M27" s="105" t="str">
        <f t="shared" si="9"/>
        <v/>
      </c>
      <c r="N27" s="105" t="str">
        <f t="shared" si="9"/>
        <v/>
      </c>
      <c r="O27" s="105" t="str">
        <f t="shared" si="9"/>
        <v/>
      </c>
      <c r="P27" s="105" t="str">
        <f t="shared" si="9"/>
        <v/>
      </c>
      <c r="Q27" s="105" t="str">
        <f t="shared" si="9"/>
        <v/>
      </c>
      <c r="R27" s="105" t="str">
        <f t="shared" si="9"/>
        <v/>
      </c>
      <c r="S27" s="105" t="str">
        <f t="shared" si="9"/>
        <v/>
      </c>
      <c r="T27" s="105" t="str">
        <f t="shared" si="9"/>
        <v/>
      </c>
      <c r="U27" s="105" t="str">
        <f t="shared" si="9"/>
        <v/>
      </c>
      <c r="V27" s="105" t="str">
        <f t="shared" si="9"/>
        <v/>
      </c>
      <c r="W27" s="105" t="str">
        <f t="shared" si="9"/>
        <v/>
      </c>
      <c r="X27" s="105" t="str">
        <f t="shared" si="9"/>
        <v/>
      </c>
      <c r="Y27" s="105" t="str">
        <f t="shared" si="9"/>
        <v>x</v>
      </c>
      <c r="Z27" s="105" t="str">
        <f t="shared" si="9"/>
        <v>x</v>
      </c>
      <c r="AA27" s="105" t="str">
        <f t="shared" si="9"/>
        <v>x</v>
      </c>
      <c r="AB27" s="105" t="str">
        <f t="shared" si="9"/>
        <v>x</v>
      </c>
      <c r="AC27" s="105" t="str">
        <f t="shared" si="9"/>
        <v>x</v>
      </c>
      <c r="AD27" s="105" t="str">
        <f t="shared" si="9"/>
        <v>x</v>
      </c>
    </row>
    <row r="28" spans="1:34" s="48" customFormat="1" ht="37.5" x14ac:dyDescent="0.25">
      <c r="A28" s="212" t="s">
        <v>713</v>
      </c>
      <c r="B28" s="237" t="s">
        <v>52</v>
      </c>
      <c r="C28" s="373" t="s">
        <v>1286</v>
      </c>
      <c r="D28" s="419" t="s">
        <v>1077</v>
      </c>
      <c r="E28" s="143"/>
      <c r="F28" s="294"/>
      <c r="G28" s="146"/>
      <c r="H28" s="287" t="str">
        <f>HYPERLINK(CONCATENATE("http://garwiki.regn.net/mediawiki/index.php/Scorecard_Rule_",MID(A28,FIND(":",A28)+1,9)),"?")</f>
        <v>?</v>
      </c>
      <c r="I28" s="105"/>
      <c r="J28" s="106"/>
      <c r="K28" s="345"/>
      <c r="L28" s="346"/>
      <c r="M28" s="346"/>
      <c r="N28" s="346"/>
      <c r="O28" s="346"/>
      <c r="P28" s="346"/>
      <c r="Q28" s="346"/>
      <c r="R28" s="346"/>
      <c r="S28" s="345"/>
      <c r="T28" s="345"/>
      <c r="U28" s="346"/>
      <c r="V28" s="346"/>
      <c r="W28" s="345"/>
      <c r="X28" s="345"/>
      <c r="Y28" s="345" t="s">
        <v>144</v>
      </c>
      <c r="Z28" s="345" t="s">
        <v>144</v>
      </c>
      <c r="AA28" s="345" t="s">
        <v>144</v>
      </c>
      <c r="AB28" s="345" t="s">
        <v>144</v>
      </c>
      <c r="AC28" s="345" t="s">
        <v>144</v>
      </c>
      <c r="AD28" s="345" t="s">
        <v>144</v>
      </c>
      <c r="AE28"/>
      <c r="AF28"/>
      <c r="AG28"/>
      <c r="AH28"/>
    </row>
    <row r="29" spans="1:34" ht="37.5" x14ac:dyDescent="0.25">
      <c r="A29" s="212" t="s">
        <v>473</v>
      </c>
      <c r="B29" s="237" t="s">
        <v>52</v>
      </c>
      <c r="C29" s="373" t="s">
        <v>1287</v>
      </c>
      <c r="D29" s="349" t="s">
        <v>1027</v>
      </c>
      <c r="E29" s="144"/>
      <c r="F29" s="296"/>
      <c r="G29" s="148"/>
      <c r="H29" s="287" t="str">
        <f>HYPERLINK(CONCATENATE("http://garwiki.regn.net/mediawiki/index.php/Scorecard_Rule_",MID(A29,FIND(":",A29)+1,9)),"?")</f>
        <v>?</v>
      </c>
      <c r="I29" s="105"/>
      <c r="J29" s="106"/>
      <c r="K29" s="345"/>
      <c r="L29" s="346"/>
      <c r="M29" s="414"/>
      <c r="N29" s="414"/>
      <c r="O29" s="346"/>
      <c r="P29" s="346"/>
      <c r="Q29" s="346"/>
      <c r="R29" s="346"/>
      <c r="S29" s="346"/>
      <c r="T29" s="346"/>
      <c r="U29" s="346"/>
      <c r="V29" s="346"/>
      <c r="W29" s="346"/>
      <c r="X29" s="346"/>
      <c r="Y29" s="345" t="s">
        <v>144</v>
      </c>
      <c r="Z29" s="345" t="s">
        <v>144</v>
      </c>
      <c r="AA29" s="345" t="s">
        <v>144</v>
      </c>
      <c r="AB29" s="345" t="s">
        <v>144</v>
      </c>
      <c r="AC29" s="345" t="s">
        <v>144</v>
      </c>
      <c r="AD29" s="345" t="s">
        <v>144</v>
      </c>
    </row>
    <row r="30" spans="1:34" x14ac:dyDescent="0.25">
      <c r="A30"/>
      <c r="B30"/>
      <c r="C30"/>
      <c r="D30"/>
      <c r="E30"/>
      <c r="F30"/>
      <c r="G30"/>
      <c r="H30"/>
      <c r="I30"/>
      <c r="J30"/>
      <c r="K30"/>
      <c r="L30"/>
      <c r="M30"/>
      <c r="N30"/>
      <c r="O30"/>
      <c r="P30"/>
      <c r="Q30"/>
      <c r="R30"/>
      <c r="S30"/>
      <c r="T30"/>
      <c r="U30"/>
      <c r="V30"/>
      <c r="W30"/>
      <c r="X30"/>
      <c r="Y30"/>
      <c r="Z30"/>
      <c r="AA30"/>
      <c r="AB30"/>
      <c r="AC30"/>
      <c r="AD30"/>
      <c r="AE30"/>
      <c r="AF30"/>
      <c r="AG30"/>
      <c r="AH30"/>
    </row>
    <row r="31" spans="1:34" x14ac:dyDescent="0.25">
      <c r="A31"/>
      <c r="B31"/>
      <c r="C31"/>
      <c r="D31"/>
      <c r="E31"/>
      <c r="F31"/>
      <c r="G31"/>
      <c r="H31"/>
      <c r="I31"/>
      <c r="J31"/>
      <c r="K31"/>
      <c r="L31"/>
      <c r="M31"/>
      <c r="N31"/>
      <c r="O31"/>
      <c r="P31"/>
      <c r="Q31"/>
      <c r="R31"/>
      <c r="S31"/>
      <c r="T31"/>
      <c r="U31"/>
      <c r="V31"/>
      <c r="W31"/>
      <c r="X31"/>
      <c r="Y31"/>
      <c r="Z31"/>
      <c r="AA31"/>
      <c r="AB31"/>
      <c r="AC31"/>
      <c r="AD31"/>
      <c r="AE31"/>
      <c r="AF31"/>
      <c r="AG31"/>
      <c r="AH31"/>
    </row>
    <row r="32" spans="1:34" x14ac:dyDescent="0.25">
      <c r="A32"/>
      <c r="B32"/>
      <c r="C32"/>
      <c r="D32"/>
      <c r="E32"/>
      <c r="F32"/>
      <c r="G32"/>
      <c r="H32"/>
      <c r="I32"/>
      <c r="J32"/>
      <c r="K32"/>
      <c r="L32"/>
      <c r="M32"/>
      <c r="N32"/>
      <c r="O32"/>
      <c r="P32"/>
      <c r="Q32"/>
      <c r="R32"/>
      <c r="S32"/>
      <c r="T32"/>
      <c r="U32"/>
      <c r="V32"/>
      <c r="W32"/>
      <c r="X32"/>
      <c r="Y32"/>
      <c r="Z32"/>
      <c r="AA32"/>
      <c r="AB32"/>
      <c r="AC32"/>
      <c r="AD32"/>
      <c r="AE32"/>
      <c r="AF32"/>
      <c r="AG32"/>
      <c r="AH32"/>
    </row>
    <row r="33" spans="1:34" x14ac:dyDescent="0.25">
      <c r="A33"/>
      <c r="B33"/>
      <c r="C33"/>
      <c r="D33"/>
      <c r="E33"/>
      <c r="F33"/>
      <c r="G33"/>
      <c r="H33"/>
      <c r="I33"/>
      <c r="J33"/>
      <c r="K33"/>
      <c r="L33"/>
      <c r="M33"/>
      <c r="N33"/>
      <c r="O33"/>
      <c r="P33"/>
      <c r="Q33"/>
      <c r="R33"/>
      <c r="S33"/>
      <c r="T33"/>
      <c r="U33"/>
      <c r="V33"/>
      <c r="W33"/>
      <c r="X33"/>
      <c r="Y33"/>
      <c r="Z33"/>
      <c r="AA33"/>
      <c r="AB33"/>
      <c r="AC33"/>
      <c r="AD33"/>
      <c r="AE33"/>
      <c r="AF33"/>
      <c r="AG33"/>
      <c r="AH33"/>
    </row>
    <row r="34" spans="1:34" x14ac:dyDescent="0.25">
      <c r="A34"/>
      <c r="B34"/>
      <c r="C34"/>
      <c r="D34"/>
      <c r="E34"/>
      <c r="F34"/>
      <c r="G34"/>
      <c r="H34"/>
      <c r="I34"/>
      <c r="J34"/>
      <c r="K34"/>
      <c r="L34"/>
      <c r="M34"/>
      <c r="N34"/>
      <c r="O34"/>
      <c r="P34"/>
      <c r="Q34"/>
      <c r="R34"/>
      <c r="S34"/>
      <c r="T34"/>
      <c r="U34"/>
      <c r="V34"/>
      <c r="W34"/>
      <c r="X34"/>
      <c r="Y34"/>
      <c r="Z34"/>
      <c r="AA34"/>
      <c r="AB34"/>
      <c r="AC34"/>
      <c r="AD34"/>
      <c r="AE34"/>
      <c r="AF34"/>
      <c r="AG34"/>
      <c r="AH34"/>
    </row>
    <row r="35" spans="1:34" x14ac:dyDescent="0.25">
      <c r="A35"/>
      <c r="B35"/>
      <c r="C35"/>
      <c r="D35"/>
      <c r="E35"/>
      <c r="F35"/>
      <c r="G35"/>
      <c r="H35"/>
      <c r="I35"/>
      <c r="J35"/>
      <c r="K35"/>
      <c r="L35"/>
      <c r="M35"/>
      <c r="N35"/>
      <c r="O35"/>
      <c r="P35"/>
      <c r="Q35"/>
      <c r="R35"/>
      <c r="S35"/>
      <c r="T35"/>
      <c r="U35"/>
      <c r="V35"/>
      <c r="W35"/>
      <c r="X35"/>
      <c r="Y35"/>
      <c r="Z35"/>
      <c r="AA35"/>
      <c r="AB35"/>
      <c r="AC35"/>
      <c r="AD35"/>
      <c r="AE35"/>
      <c r="AF35"/>
      <c r="AG35"/>
      <c r="AH35"/>
    </row>
    <row r="36" spans="1:34" x14ac:dyDescent="0.25">
      <c r="A36"/>
      <c r="B36"/>
      <c r="C36"/>
      <c r="D36"/>
      <c r="E36"/>
      <c r="F36"/>
      <c r="G36"/>
      <c r="H36"/>
      <c r="I36"/>
      <c r="J36"/>
      <c r="K36"/>
      <c r="L36"/>
      <c r="M36"/>
      <c r="N36"/>
      <c r="O36"/>
      <c r="P36"/>
      <c r="Q36"/>
      <c r="R36"/>
      <c r="S36"/>
      <c r="T36"/>
      <c r="U36"/>
      <c r="V36"/>
      <c r="W36"/>
      <c r="X36"/>
      <c r="Y36"/>
      <c r="Z36"/>
      <c r="AA36"/>
      <c r="AB36"/>
      <c r="AC36"/>
      <c r="AD36"/>
      <c r="AE36"/>
      <c r="AF36"/>
      <c r="AG36"/>
      <c r="AH36"/>
    </row>
    <row r="37" spans="1:34" x14ac:dyDescent="0.25">
      <c r="A37"/>
      <c r="B37"/>
      <c r="C37"/>
      <c r="D37"/>
      <c r="E37"/>
      <c r="F37"/>
      <c r="G37"/>
      <c r="H37"/>
      <c r="I37"/>
      <c r="J37"/>
      <c r="K37"/>
      <c r="L37"/>
      <c r="M37"/>
      <c r="N37"/>
      <c r="O37"/>
      <c r="P37"/>
      <c r="Q37"/>
      <c r="R37"/>
      <c r="S37"/>
      <c r="T37"/>
      <c r="U37"/>
      <c r="V37"/>
      <c r="W37"/>
      <c r="X37"/>
      <c r="Y37"/>
      <c r="Z37"/>
      <c r="AA37"/>
      <c r="AB37"/>
      <c r="AC37"/>
      <c r="AD37"/>
      <c r="AE37"/>
      <c r="AF37"/>
      <c r="AG37"/>
      <c r="AH37"/>
    </row>
    <row r="38" spans="1:34" x14ac:dyDescent="0.25">
      <c r="A38"/>
      <c r="B38"/>
      <c r="C38"/>
      <c r="D38"/>
      <c r="E38"/>
      <c r="F38"/>
      <c r="G38"/>
      <c r="H38"/>
      <c r="I38"/>
      <c r="J38"/>
      <c r="K38"/>
      <c r="L38"/>
      <c r="M38"/>
      <c r="N38"/>
      <c r="O38"/>
      <c r="P38"/>
      <c r="Q38"/>
      <c r="R38"/>
      <c r="S38"/>
      <c r="T38"/>
      <c r="U38"/>
      <c r="V38"/>
      <c r="W38"/>
      <c r="X38"/>
      <c r="Y38"/>
      <c r="Z38"/>
      <c r="AA38"/>
      <c r="AB38"/>
      <c r="AC38"/>
      <c r="AD38"/>
      <c r="AE38"/>
      <c r="AF38"/>
      <c r="AG38"/>
      <c r="AH38"/>
    </row>
    <row r="39" spans="1:34" x14ac:dyDescent="0.25">
      <c r="A39"/>
      <c r="B39"/>
      <c r="C39"/>
      <c r="D39"/>
      <c r="E39"/>
      <c r="F39"/>
      <c r="G39"/>
      <c r="H39"/>
      <c r="I39"/>
      <c r="J39"/>
      <c r="K39"/>
      <c r="L39"/>
      <c r="M39"/>
      <c r="N39"/>
      <c r="O39"/>
      <c r="P39"/>
      <c r="Q39"/>
      <c r="R39"/>
      <c r="S39"/>
      <c r="T39"/>
      <c r="U39"/>
      <c r="V39"/>
      <c r="W39"/>
      <c r="X39"/>
      <c r="Y39"/>
      <c r="Z39"/>
      <c r="AA39"/>
      <c r="AB39"/>
      <c r="AC39"/>
      <c r="AD39"/>
      <c r="AE39"/>
      <c r="AF39"/>
      <c r="AG39"/>
      <c r="AH39"/>
    </row>
    <row r="40" spans="1:34" x14ac:dyDescent="0.25">
      <c r="A40"/>
      <c r="B40"/>
      <c r="C40"/>
      <c r="D40"/>
      <c r="E40"/>
      <c r="F40"/>
      <c r="G40"/>
      <c r="H40"/>
      <c r="I40"/>
      <c r="J40"/>
      <c r="K40"/>
      <c r="L40"/>
      <c r="M40"/>
      <c r="N40"/>
      <c r="O40"/>
      <c r="P40"/>
      <c r="Q40"/>
      <c r="R40"/>
      <c r="S40"/>
      <c r="T40"/>
      <c r="U40"/>
      <c r="V40"/>
      <c r="W40"/>
      <c r="X40"/>
      <c r="Y40"/>
      <c r="Z40"/>
      <c r="AA40"/>
      <c r="AB40"/>
      <c r="AC40"/>
      <c r="AD40"/>
      <c r="AE40"/>
      <c r="AF40"/>
      <c r="AG40"/>
      <c r="AH40"/>
    </row>
    <row r="41" spans="1:34" x14ac:dyDescent="0.25">
      <c r="A41"/>
      <c r="B41"/>
      <c r="C41"/>
      <c r="D41"/>
      <c r="E41"/>
      <c r="F41"/>
      <c r="G41"/>
      <c r="H41"/>
      <c r="I41"/>
      <c r="J41"/>
      <c r="K41"/>
      <c r="L41"/>
      <c r="M41"/>
      <c r="N41"/>
      <c r="O41"/>
      <c r="P41"/>
      <c r="Q41"/>
      <c r="R41"/>
      <c r="S41"/>
      <c r="T41"/>
      <c r="U41"/>
      <c r="V41"/>
      <c r="W41"/>
      <c r="X41"/>
      <c r="Y41"/>
      <c r="Z41"/>
      <c r="AA41"/>
      <c r="AB41"/>
      <c r="AC41"/>
      <c r="AD41"/>
      <c r="AE41"/>
      <c r="AF41"/>
      <c r="AG41"/>
      <c r="AH41"/>
    </row>
    <row r="42" spans="1:34" x14ac:dyDescent="0.25">
      <c r="A42"/>
      <c r="B42"/>
      <c r="C42"/>
      <c r="D42"/>
      <c r="E42"/>
      <c r="F42"/>
      <c r="G42"/>
      <c r="H42"/>
      <c r="I42"/>
      <c r="J42"/>
      <c r="K42"/>
      <c r="L42"/>
      <c r="M42"/>
      <c r="N42"/>
      <c r="O42"/>
      <c r="P42"/>
      <c r="Q42"/>
      <c r="R42"/>
      <c r="S42"/>
      <c r="T42"/>
      <c r="U42"/>
      <c r="V42"/>
      <c r="W42"/>
      <c r="X42"/>
      <c r="Y42"/>
      <c r="Z42"/>
      <c r="AA42"/>
      <c r="AB42"/>
      <c r="AC42"/>
      <c r="AD42"/>
      <c r="AE42"/>
      <c r="AF42"/>
      <c r="AG42"/>
      <c r="AH42"/>
    </row>
    <row r="43" spans="1:34" x14ac:dyDescent="0.25">
      <c r="A43"/>
      <c r="B43"/>
      <c r="C43"/>
      <c r="D43"/>
      <c r="E43"/>
      <c r="F43"/>
      <c r="G43"/>
      <c r="H43"/>
      <c r="I43"/>
      <c r="J43"/>
      <c r="K43"/>
      <c r="L43"/>
      <c r="M43"/>
      <c r="N43"/>
      <c r="O43"/>
      <c r="P43"/>
      <c r="Q43"/>
      <c r="R43"/>
      <c r="S43"/>
      <c r="T43"/>
      <c r="U43"/>
      <c r="V43"/>
      <c r="W43"/>
      <c r="X43"/>
      <c r="Y43"/>
      <c r="Z43"/>
      <c r="AA43"/>
      <c r="AB43"/>
      <c r="AC43"/>
      <c r="AD43"/>
      <c r="AE43"/>
      <c r="AF43"/>
      <c r="AG43"/>
      <c r="AH43"/>
    </row>
    <row r="44" spans="1:34" x14ac:dyDescent="0.25">
      <c r="A44"/>
      <c r="B44"/>
      <c r="C44"/>
      <c r="D44"/>
      <c r="E44"/>
      <c r="F44"/>
      <c r="G44"/>
      <c r="H44"/>
      <c r="I44"/>
      <c r="J44"/>
      <c r="K44"/>
      <c r="L44"/>
      <c r="M44"/>
      <c r="N44"/>
      <c r="O44"/>
      <c r="P44"/>
      <c r="Q44"/>
      <c r="R44"/>
      <c r="S44"/>
      <c r="T44"/>
      <c r="U44"/>
      <c r="V44"/>
      <c r="W44"/>
      <c r="X44"/>
      <c r="Y44"/>
      <c r="Z44"/>
      <c r="AA44"/>
      <c r="AB44"/>
      <c r="AC44"/>
      <c r="AD44"/>
      <c r="AE44"/>
      <c r="AF44"/>
      <c r="AG44"/>
      <c r="AH44"/>
    </row>
    <row r="45" spans="1:34" x14ac:dyDescent="0.25">
      <c r="A45"/>
      <c r="B45"/>
      <c r="C45"/>
      <c r="D45"/>
      <c r="E45"/>
      <c r="F45"/>
      <c r="G45"/>
      <c r="H45"/>
      <c r="I45"/>
      <c r="J45"/>
      <c r="K45"/>
      <c r="L45"/>
      <c r="M45"/>
      <c r="N45"/>
      <c r="O45"/>
      <c r="P45"/>
      <c r="Q45"/>
      <c r="R45"/>
      <c r="S45"/>
      <c r="T45"/>
      <c r="U45"/>
      <c r="V45"/>
      <c r="W45"/>
      <c r="X45"/>
      <c r="Y45"/>
      <c r="Z45"/>
      <c r="AA45"/>
      <c r="AB45"/>
      <c r="AC45"/>
      <c r="AD45"/>
      <c r="AE45"/>
      <c r="AF45"/>
      <c r="AG45"/>
      <c r="AH45"/>
    </row>
    <row r="46" spans="1:34" x14ac:dyDescent="0.25">
      <c r="A46"/>
      <c r="B46"/>
      <c r="C46"/>
      <c r="D46"/>
      <c r="E46"/>
      <c r="F46"/>
      <c r="G46"/>
      <c r="H46"/>
      <c r="I46"/>
      <c r="J46"/>
      <c r="K46"/>
      <c r="L46"/>
      <c r="M46"/>
      <c r="N46"/>
      <c r="O46"/>
      <c r="P46"/>
      <c r="Q46"/>
      <c r="R46"/>
      <c r="S46"/>
      <c r="T46"/>
      <c r="U46"/>
      <c r="V46"/>
      <c r="W46"/>
      <c r="X46"/>
      <c r="Y46"/>
      <c r="Z46"/>
      <c r="AA46"/>
      <c r="AB46"/>
      <c r="AC46"/>
      <c r="AD46"/>
      <c r="AE46"/>
      <c r="AF46"/>
      <c r="AG46"/>
      <c r="AH46"/>
    </row>
    <row r="47" spans="1:34" x14ac:dyDescent="0.25">
      <c r="A47"/>
      <c r="B47"/>
      <c r="C47"/>
      <c r="D47"/>
      <c r="E47"/>
      <c r="F47"/>
      <c r="G47"/>
      <c r="H47"/>
      <c r="I47"/>
      <c r="J47"/>
      <c r="K47"/>
      <c r="L47"/>
      <c r="M47"/>
      <c r="N47"/>
      <c r="O47"/>
      <c r="P47"/>
      <c r="Q47"/>
      <c r="R47"/>
      <c r="S47"/>
      <c r="T47"/>
      <c r="U47"/>
      <c r="V47"/>
      <c r="W47"/>
      <c r="X47"/>
      <c r="Y47"/>
      <c r="Z47"/>
      <c r="AA47"/>
      <c r="AB47"/>
      <c r="AC47"/>
      <c r="AD47"/>
      <c r="AE47"/>
      <c r="AF47"/>
      <c r="AG47"/>
      <c r="AH47"/>
    </row>
    <row r="48" spans="1:34" x14ac:dyDescent="0.25">
      <c r="A48"/>
      <c r="B48"/>
      <c r="C48"/>
      <c r="D48"/>
      <c r="E48"/>
      <c r="F48"/>
      <c r="G48"/>
      <c r="H48"/>
      <c r="I48"/>
      <c r="J48"/>
      <c r="K48"/>
      <c r="L48"/>
      <c r="M48"/>
      <c r="N48"/>
      <c r="O48"/>
      <c r="P48"/>
      <c r="Q48"/>
      <c r="R48"/>
      <c r="S48"/>
      <c r="T48"/>
      <c r="U48"/>
      <c r="V48"/>
      <c r="W48"/>
      <c r="X48"/>
      <c r="Y48"/>
      <c r="Z48"/>
      <c r="AA48"/>
      <c r="AB48"/>
      <c r="AC48"/>
      <c r="AD48"/>
      <c r="AE48"/>
      <c r="AF48"/>
      <c r="AG48"/>
      <c r="AH48"/>
    </row>
    <row r="49" spans="1:34" x14ac:dyDescent="0.25">
      <c r="A49"/>
      <c r="B49"/>
      <c r="C49"/>
      <c r="D49"/>
      <c r="E49"/>
      <c r="F49"/>
      <c r="G49"/>
      <c r="H49"/>
      <c r="I49"/>
      <c r="J49"/>
      <c r="K49"/>
      <c r="L49"/>
      <c r="M49"/>
      <c r="N49"/>
      <c r="O49"/>
      <c r="P49"/>
      <c r="Q49"/>
      <c r="R49"/>
      <c r="S49"/>
      <c r="T49"/>
      <c r="U49"/>
      <c r="V49"/>
      <c r="W49"/>
      <c r="X49"/>
      <c r="Y49"/>
      <c r="Z49"/>
      <c r="AA49"/>
      <c r="AB49"/>
      <c r="AC49"/>
      <c r="AD49"/>
      <c r="AE49"/>
      <c r="AF49"/>
      <c r="AG49"/>
      <c r="AH49"/>
    </row>
    <row r="50" spans="1:34" x14ac:dyDescent="0.25">
      <c r="A50"/>
      <c r="B50"/>
      <c r="C50"/>
      <c r="D50"/>
      <c r="E50"/>
      <c r="F50"/>
      <c r="G50"/>
      <c r="H50"/>
      <c r="I50"/>
      <c r="J50"/>
      <c r="K50"/>
      <c r="L50"/>
      <c r="M50"/>
      <c r="N50"/>
      <c r="O50"/>
      <c r="P50"/>
      <c r="Q50"/>
      <c r="R50"/>
      <c r="S50"/>
      <c r="T50"/>
      <c r="U50"/>
      <c r="V50"/>
      <c r="W50"/>
      <c r="X50"/>
      <c r="Y50"/>
      <c r="Z50"/>
      <c r="AA50"/>
      <c r="AB50"/>
      <c r="AC50"/>
      <c r="AD50"/>
      <c r="AE50"/>
      <c r="AF50"/>
      <c r="AG50"/>
      <c r="AH50"/>
    </row>
    <row r="51" spans="1:34" x14ac:dyDescent="0.25">
      <c r="A51"/>
      <c r="B51"/>
      <c r="C51"/>
      <c r="D51"/>
      <c r="E51"/>
      <c r="F51"/>
      <c r="G51"/>
      <c r="H51"/>
      <c r="I51"/>
      <c r="J51"/>
      <c r="K51"/>
      <c r="L51"/>
      <c r="M51"/>
      <c r="N51"/>
      <c r="O51"/>
      <c r="P51"/>
      <c r="Q51"/>
      <c r="R51"/>
      <c r="S51"/>
      <c r="T51"/>
      <c r="U51"/>
      <c r="V51"/>
      <c r="W51"/>
      <c r="X51"/>
      <c r="Y51"/>
      <c r="Z51"/>
      <c r="AA51"/>
      <c r="AB51"/>
      <c r="AC51"/>
      <c r="AD51"/>
      <c r="AE51"/>
      <c r="AF51"/>
      <c r="AG51"/>
      <c r="AH51"/>
    </row>
    <row r="52" spans="1:34" x14ac:dyDescent="0.25">
      <c r="A52"/>
      <c r="B52"/>
      <c r="C52"/>
      <c r="D52"/>
      <c r="E52"/>
      <c r="F52"/>
      <c r="G52"/>
      <c r="H52"/>
      <c r="I52"/>
      <c r="J52"/>
      <c r="K52"/>
      <c r="L52"/>
      <c r="M52"/>
      <c r="N52"/>
      <c r="O52"/>
      <c r="P52"/>
      <c r="Q52"/>
      <c r="R52"/>
      <c r="S52"/>
      <c r="T52"/>
      <c r="U52"/>
      <c r="V52"/>
      <c r="W52"/>
      <c r="X52"/>
      <c r="Y52"/>
      <c r="Z52"/>
      <c r="AA52"/>
      <c r="AB52"/>
      <c r="AC52"/>
      <c r="AD52"/>
      <c r="AE52"/>
      <c r="AF52"/>
      <c r="AG52"/>
      <c r="AH52"/>
    </row>
    <row r="53" spans="1:34" x14ac:dyDescent="0.25">
      <c r="A53"/>
      <c r="B53"/>
      <c r="C53"/>
      <c r="D53"/>
      <c r="E53"/>
      <c r="F53"/>
      <c r="G53"/>
      <c r="H53"/>
      <c r="I53"/>
      <c r="J53"/>
      <c r="K53"/>
      <c r="L53"/>
      <c r="M53"/>
      <c r="N53"/>
      <c r="O53"/>
      <c r="P53"/>
      <c r="Q53"/>
      <c r="R53"/>
      <c r="S53"/>
      <c r="T53"/>
      <c r="U53"/>
      <c r="V53"/>
      <c r="W53"/>
      <c r="X53"/>
      <c r="Y53"/>
      <c r="Z53"/>
      <c r="AA53"/>
      <c r="AB53"/>
      <c r="AC53"/>
      <c r="AD53"/>
      <c r="AE53"/>
      <c r="AF53"/>
      <c r="AG53"/>
      <c r="AH53"/>
    </row>
    <row r="54" spans="1:34" x14ac:dyDescent="0.25">
      <c r="A54"/>
      <c r="B54"/>
      <c r="C54"/>
      <c r="D54"/>
      <c r="E54"/>
      <c r="F54"/>
      <c r="G54"/>
      <c r="H54"/>
      <c r="I54"/>
      <c r="J54"/>
      <c r="K54"/>
      <c r="L54"/>
      <c r="M54"/>
      <c r="N54"/>
      <c r="O54"/>
      <c r="P54"/>
      <c r="Q54"/>
      <c r="R54"/>
      <c r="S54"/>
      <c r="T54"/>
      <c r="U54"/>
      <c r="V54"/>
      <c r="W54"/>
      <c r="X54"/>
      <c r="Y54"/>
      <c r="Z54"/>
      <c r="AA54"/>
      <c r="AB54"/>
      <c r="AC54"/>
      <c r="AD54"/>
      <c r="AE54"/>
      <c r="AF54"/>
      <c r="AG54"/>
      <c r="AH54"/>
    </row>
    <row r="55" spans="1:34" x14ac:dyDescent="0.25">
      <c r="A55"/>
      <c r="B55"/>
      <c r="C55"/>
      <c r="D55"/>
      <c r="E55"/>
      <c r="F55"/>
      <c r="G55"/>
      <c r="H55"/>
      <c r="I55"/>
      <c r="J55"/>
      <c r="K55"/>
      <c r="L55"/>
      <c r="M55"/>
      <c r="N55"/>
      <c r="O55"/>
      <c r="P55"/>
      <c r="Q55"/>
      <c r="R55"/>
      <c r="S55"/>
      <c r="T55"/>
      <c r="U55"/>
      <c r="V55"/>
      <c r="W55"/>
      <c r="X55"/>
      <c r="Y55"/>
      <c r="Z55"/>
      <c r="AA55"/>
      <c r="AB55"/>
      <c r="AC55"/>
      <c r="AD55"/>
      <c r="AE55"/>
      <c r="AF55"/>
      <c r="AG55"/>
      <c r="AH55"/>
    </row>
    <row r="56" spans="1:34" x14ac:dyDescent="0.25">
      <c r="A56"/>
      <c r="B56"/>
      <c r="C56"/>
      <c r="D56"/>
      <c r="E56"/>
      <c r="F56"/>
      <c r="G56"/>
      <c r="H56"/>
      <c r="I56"/>
      <c r="J56"/>
      <c r="K56"/>
      <c r="L56"/>
      <c r="M56"/>
      <c r="N56"/>
      <c r="O56"/>
      <c r="P56"/>
      <c r="Q56"/>
      <c r="R56"/>
      <c r="S56"/>
      <c r="T56"/>
      <c r="U56"/>
      <c r="V56"/>
      <c r="W56"/>
      <c r="X56"/>
      <c r="Y56"/>
      <c r="Z56"/>
      <c r="AA56"/>
      <c r="AB56"/>
      <c r="AC56"/>
      <c r="AD56"/>
      <c r="AE56"/>
      <c r="AF56"/>
      <c r="AG56"/>
      <c r="AH56"/>
    </row>
    <row r="57" spans="1:34" x14ac:dyDescent="0.25">
      <c r="A57"/>
      <c r="B57"/>
      <c r="C57"/>
      <c r="D57"/>
      <c r="E57"/>
      <c r="F57"/>
      <c r="G57"/>
      <c r="H57"/>
      <c r="I57"/>
      <c r="J57"/>
      <c r="K57"/>
      <c r="L57"/>
      <c r="M57"/>
      <c r="N57"/>
      <c r="O57"/>
      <c r="P57"/>
      <c r="Q57"/>
      <c r="R57"/>
      <c r="S57"/>
      <c r="T57"/>
      <c r="U57"/>
      <c r="V57"/>
      <c r="W57"/>
      <c r="X57"/>
      <c r="Y57"/>
      <c r="Z57"/>
      <c r="AA57"/>
      <c r="AB57"/>
      <c r="AC57"/>
      <c r="AD57"/>
      <c r="AE57"/>
      <c r="AF57"/>
      <c r="AG57"/>
      <c r="AH57"/>
    </row>
    <row r="58" spans="1:34" x14ac:dyDescent="0.25">
      <c r="A58"/>
      <c r="B58"/>
      <c r="C58"/>
      <c r="D58"/>
      <c r="E58"/>
      <c r="F58"/>
      <c r="G58"/>
      <c r="H58"/>
      <c r="I58"/>
      <c r="J58"/>
      <c r="K58"/>
      <c r="L58"/>
      <c r="M58"/>
      <c r="N58"/>
      <c r="O58"/>
      <c r="P58"/>
      <c r="Q58"/>
      <c r="R58"/>
      <c r="S58"/>
      <c r="T58"/>
      <c r="U58"/>
      <c r="V58"/>
      <c r="W58"/>
      <c r="X58"/>
      <c r="Y58"/>
      <c r="Z58"/>
      <c r="AA58"/>
      <c r="AB58"/>
      <c r="AC58"/>
      <c r="AD58"/>
      <c r="AE58"/>
      <c r="AF58"/>
      <c r="AG58"/>
      <c r="AH58"/>
    </row>
    <row r="59" spans="1:34" x14ac:dyDescent="0.25">
      <c r="A59"/>
      <c r="B59"/>
      <c r="C59"/>
      <c r="D59"/>
      <c r="E59"/>
      <c r="F59"/>
      <c r="G59"/>
      <c r="H59"/>
      <c r="I59"/>
      <c r="J59"/>
      <c r="K59"/>
      <c r="L59"/>
      <c r="M59"/>
      <c r="N59"/>
      <c r="O59"/>
      <c r="P59"/>
      <c r="Q59"/>
      <c r="R59"/>
      <c r="S59"/>
      <c r="T59"/>
      <c r="U59"/>
      <c r="V59"/>
      <c r="W59"/>
      <c r="X59"/>
      <c r="Y59"/>
      <c r="Z59"/>
      <c r="AA59"/>
      <c r="AB59"/>
      <c r="AC59"/>
      <c r="AD59"/>
      <c r="AE59"/>
      <c r="AF59"/>
      <c r="AG59"/>
      <c r="AH59"/>
    </row>
    <row r="60" spans="1:34" x14ac:dyDescent="0.25">
      <c r="A60"/>
      <c r="B60"/>
      <c r="C60"/>
      <c r="D60"/>
      <c r="E60"/>
      <c r="F60"/>
      <c r="G60"/>
      <c r="H60"/>
      <c r="I60"/>
      <c r="J60"/>
      <c r="K60"/>
      <c r="L60"/>
      <c r="M60"/>
      <c r="N60"/>
      <c r="O60"/>
      <c r="P60"/>
      <c r="Q60"/>
      <c r="R60"/>
      <c r="S60"/>
      <c r="T60"/>
      <c r="U60"/>
      <c r="V60"/>
      <c r="W60"/>
      <c r="X60"/>
      <c r="Y60"/>
      <c r="Z60"/>
      <c r="AA60"/>
      <c r="AB60"/>
      <c r="AC60"/>
      <c r="AD60"/>
      <c r="AE60"/>
      <c r="AF60"/>
      <c r="AG60"/>
      <c r="AH60"/>
    </row>
    <row r="61" spans="1:34" x14ac:dyDescent="0.25">
      <c r="A61"/>
      <c r="B61"/>
      <c r="C61"/>
      <c r="D61"/>
      <c r="E61"/>
      <c r="F61"/>
      <c r="G61"/>
      <c r="H61"/>
      <c r="I61"/>
      <c r="J61"/>
      <c r="K61"/>
      <c r="L61"/>
      <c r="M61"/>
      <c r="N61"/>
      <c r="O61"/>
      <c r="P61"/>
      <c r="Q61"/>
      <c r="R61"/>
      <c r="S61"/>
      <c r="T61"/>
      <c r="U61"/>
      <c r="V61"/>
      <c r="W61"/>
      <c r="X61"/>
      <c r="Y61"/>
      <c r="Z61"/>
      <c r="AA61"/>
      <c r="AB61"/>
      <c r="AC61"/>
      <c r="AD61"/>
      <c r="AE61"/>
      <c r="AF61"/>
      <c r="AG61"/>
      <c r="AH61"/>
    </row>
    <row r="62" spans="1:34" x14ac:dyDescent="0.25">
      <c r="A62"/>
      <c r="B62"/>
      <c r="C62"/>
      <c r="D62"/>
      <c r="E62"/>
      <c r="F62"/>
      <c r="G62"/>
      <c r="H62"/>
      <c r="I62"/>
      <c r="J62"/>
      <c r="K62"/>
      <c r="L62"/>
      <c r="M62"/>
      <c r="N62"/>
      <c r="O62"/>
      <c r="P62"/>
      <c r="Q62"/>
      <c r="R62"/>
      <c r="S62"/>
      <c r="T62"/>
      <c r="U62"/>
      <c r="V62"/>
      <c r="W62"/>
      <c r="X62"/>
      <c r="Y62"/>
      <c r="Z62"/>
      <c r="AA62"/>
      <c r="AB62"/>
      <c r="AC62"/>
      <c r="AD62"/>
      <c r="AE62"/>
      <c r="AF62"/>
      <c r="AG62"/>
      <c r="AH62"/>
    </row>
    <row r="63" spans="1:34" x14ac:dyDescent="0.25">
      <c r="A63"/>
      <c r="B63"/>
      <c r="C63"/>
      <c r="D63"/>
      <c r="E63"/>
      <c r="F63"/>
      <c r="G63"/>
      <c r="H63"/>
      <c r="I63"/>
      <c r="J63"/>
      <c r="K63"/>
      <c r="L63"/>
      <c r="M63"/>
      <c r="N63"/>
      <c r="O63"/>
      <c r="P63"/>
      <c r="Q63"/>
      <c r="R63"/>
      <c r="S63"/>
      <c r="T63"/>
      <c r="U63"/>
      <c r="V63"/>
      <c r="W63"/>
      <c r="X63"/>
      <c r="Y63"/>
      <c r="Z63"/>
      <c r="AA63"/>
      <c r="AB63"/>
      <c r="AC63"/>
      <c r="AD63"/>
      <c r="AE63"/>
      <c r="AF63"/>
      <c r="AG63"/>
      <c r="AH63"/>
    </row>
    <row r="64" spans="1:34" x14ac:dyDescent="0.25">
      <c r="A64"/>
      <c r="B64"/>
      <c r="C64"/>
      <c r="D64"/>
      <c r="E64"/>
      <c r="F64"/>
      <c r="G64"/>
      <c r="H64"/>
      <c r="I64"/>
      <c r="J64"/>
      <c r="K64"/>
      <c r="L64"/>
      <c r="M64"/>
      <c r="N64"/>
      <c r="O64"/>
      <c r="P64"/>
      <c r="Q64"/>
      <c r="R64"/>
      <c r="S64"/>
      <c r="T64"/>
      <c r="U64"/>
      <c r="V64"/>
      <c r="W64"/>
      <c r="X64"/>
      <c r="Y64"/>
      <c r="Z64"/>
      <c r="AA64"/>
      <c r="AB64"/>
      <c r="AC64"/>
      <c r="AD64"/>
      <c r="AE64"/>
      <c r="AF64"/>
      <c r="AG64"/>
      <c r="AH64"/>
    </row>
    <row r="65" spans="1:34" x14ac:dyDescent="0.25">
      <c r="A65"/>
      <c r="B65"/>
      <c r="C65"/>
      <c r="D65"/>
      <c r="E65"/>
      <c r="F65"/>
      <c r="G65"/>
      <c r="H65"/>
      <c r="I65"/>
      <c r="J65"/>
      <c r="K65"/>
      <c r="L65"/>
      <c r="M65"/>
      <c r="N65"/>
      <c r="O65"/>
      <c r="P65"/>
      <c r="Q65"/>
      <c r="R65"/>
      <c r="S65"/>
      <c r="T65"/>
      <c r="U65"/>
      <c r="V65"/>
      <c r="W65"/>
      <c r="X65"/>
      <c r="Y65"/>
      <c r="Z65"/>
      <c r="AA65"/>
      <c r="AB65"/>
      <c r="AC65"/>
      <c r="AD65"/>
      <c r="AE65"/>
      <c r="AF65"/>
      <c r="AG65"/>
      <c r="AH65"/>
    </row>
    <row r="66" spans="1:34" x14ac:dyDescent="0.25">
      <c r="A66"/>
      <c r="B66"/>
      <c r="C66"/>
      <c r="D66"/>
      <c r="E66"/>
      <c r="F66"/>
      <c r="G66"/>
      <c r="H66"/>
      <c r="I66"/>
      <c r="J66"/>
      <c r="K66"/>
      <c r="L66"/>
      <c r="M66"/>
      <c r="N66"/>
      <c r="O66"/>
      <c r="P66"/>
      <c r="Q66"/>
      <c r="R66"/>
      <c r="S66"/>
      <c r="T66"/>
      <c r="U66"/>
      <c r="V66"/>
      <c r="W66"/>
      <c r="X66"/>
      <c r="Y66"/>
      <c r="Z66"/>
      <c r="AA66"/>
      <c r="AB66"/>
      <c r="AC66"/>
      <c r="AD66"/>
      <c r="AE66"/>
      <c r="AF66"/>
      <c r="AG66"/>
      <c r="AH66"/>
    </row>
    <row r="67" spans="1:34" x14ac:dyDescent="0.25">
      <c r="A67"/>
      <c r="B67"/>
      <c r="C67"/>
      <c r="D67"/>
      <c r="E67"/>
      <c r="F67"/>
      <c r="G67"/>
      <c r="H67"/>
      <c r="I67"/>
      <c r="J67"/>
      <c r="K67"/>
      <c r="L67"/>
      <c r="M67"/>
      <c r="N67"/>
      <c r="O67"/>
      <c r="P67"/>
      <c r="Q67"/>
      <c r="R67"/>
      <c r="S67"/>
      <c r="T67"/>
      <c r="U67"/>
      <c r="V67"/>
      <c r="W67"/>
      <c r="X67"/>
      <c r="Y67"/>
      <c r="Z67"/>
      <c r="AA67"/>
      <c r="AB67"/>
      <c r="AC67"/>
      <c r="AD67"/>
      <c r="AE67"/>
      <c r="AF67"/>
      <c r="AG67"/>
      <c r="AH67"/>
    </row>
    <row r="68" spans="1:34" x14ac:dyDescent="0.25">
      <c r="A68"/>
      <c r="B68"/>
      <c r="C68"/>
      <c r="D68"/>
      <c r="E68"/>
      <c r="F68"/>
      <c r="G68"/>
      <c r="H68"/>
      <c r="I68"/>
      <c r="J68"/>
      <c r="K68"/>
      <c r="L68"/>
      <c r="M68"/>
      <c r="N68"/>
      <c r="O68"/>
      <c r="P68"/>
      <c r="Q68"/>
      <c r="R68"/>
      <c r="S68"/>
      <c r="T68"/>
      <c r="U68"/>
      <c r="V68"/>
      <c r="W68"/>
      <c r="X68"/>
      <c r="Y68"/>
      <c r="Z68"/>
      <c r="AA68"/>
      <c r="AB68"/>
      <c r="AC68"/>
      <c r="AD68"/>
      <c r="AE68"/>
      <c r="AF68"/>
      <c r="AG68"/>
      <c r="AH68"/>
    </row>
    <row r="69" spans="1:34" x14ac:dyDescent="0.25">
      <c r="A69"/>
      <c r="B69"/>
      <c r="C69"/>
      <c r="D69"/>
      <c r="E69"/>
      <c r="F69"/>
      <c r="G69"/>
      <c r="H69"/>
      <c r="I69"/>
      <c r="J69"/>
      <c r="K69"/>
      <c r="L69"/>
      <c r="M69"/>
      <c r="N69"/>
      <c r="O69"/>
      <c r="P69"/>
      <c r="Q69"/>
      <c r="R69"/>
      <c r="S69"/>
      <c r="T69"/>
      <c r="U69"/>
      <c r="V69"/>
      <c r="W69"/>
      <c r="X69"/>
      <c r="Y69"/>
      <c r="Z69"/>
      <c r="AA69"/>
      <c r="AB69"/>
      <c r="AC69"/>
      <c r="AD69"/>
      <c r="AE69"/>
      <c r="AF69"/>
      <c r="AG69"/>
      <c r="AH69"/>
    </row>
    <row r="70" spans="1:34" x14ac:dyDescent="0.25">
      <c r="A70"/>
      <c r="B70"/>
      <c r="C70"/>
      <c r="D70"/>
      <c r="E70"/>
      <c r="F70"/>
      <c r="G70"/>
      <c r="H70"/>
      <c r="I70"/>
      <c r="J70"/>
      <c r="K70"/>
      <c r="L70"/>
      <c r="M70"/>
      <c r="N70"/>
      <c r="O70"/>
      <c r="P70"/>
      <c r="Q70"/>
      <c r="R70"/>
      <c r="S70"/>
      <c r="T70"/>
      <c r="U70"/>
      <c r="V70"/>
      <c r="W70"/>
      <c r="X70"/>
      <c r="Y70"/>
      <c r="Z70"/>
      <c r="AA70"/>
      <c r="AB70"/>
      <c r="AC70"/>
      <c r="AD70"/>
      <c r="AE70"/>
      <c r="AF70"/>
      <c r="AG70"/>
      <c r="AH70"/>
    </row>
    <row r="71" spans="1:34" x14ac:dyDescent="0.25">
      <c r="A71"/>
      <c r="B71"/>
      <c r="C71"/>
      <c r="D71"/>
      <c r="E71"/>
      <c r="F71"/>
      <c r="G71"/>
      <c r="H71"/>
      <c r="I71"/>
      <c r="J71"/>
      <c r="K71"/>
      <c r="L71"/>
      <c r="M71"/>
      <c r="N71"/>
      <c r="O71"/>
      <c r="P71"/>
      <c r="Q71"/>
      <c r="R71"/>
      <c r="S71"/>
      <c r="T71"/>
      <c r="U71"/>
      <c r="V71"/>
      <c r="W71"/>
      <c r="X71"/>
      <c r="Y71"/>
      <c r="Z71"/>
      <c r="AA71"/>
      <c r="AB71"/>
      <c r="AC71"/>
      <c r="AD71"/>
      <c r="AE71"/>
      <c r="AF71"/>
      <c r="AG71"/>
      <c r="AH71"/>
    </row>
    <row r="72" spans="1:34" x14ac:dyDescent="0.25">
      <c r="A72"/>
      <c r="B72"/>
      <c r="C72"/>
      <c r="D72"/>
      <c r="E72"/>
      <c r="F72"/>
      <c r="G72"/>
      <c r="H72"/>
      <c r="I72"/>
      <c r="J72"/>
      <c r="K72"/>
      <c r="L72"/>
      <c r="M72"/>
      <c r="N72"/>
      <c r="O72"/>
      <c r="P72"/>
      <c r="Q72"/>
      <c r="R72"/>
      <c r="S72"/>
      <c r="T72"/>
      <c r="U72"/>
      <c r="V72"/>
      <c r="W72"/>
      <c r="X72"/>
      <c r="Y72"/>
      <c r="Z72"/>
      <c r="AA72"/>
      <c r="AB72"/>
      <c r="AC72"/>
      <c r="AD72"/>
      <c r="AE72"/>
      <c r="AF72"/>
      <c r="AG72"/>
      <c r="AH72"/>
    </row>
    <row r="73" spans="1:34" x14ac:dyDescent="0.25">
      <c r="A73"/>
      <c r="B73"/>
      <c r="C73"/>
      <c r="D73"/>
      <c r="E73"/>
      <c r="F73"/>
      <c r="G73"/>
      <c r="H73"/>
      <c r="I73"/>
      <c r="J73"/>
      <c r="K73"/>
      <c r="L73"/>
      <c r="M73"/>
      <c r="N73"/>
      <c r="O73"/>
      <c r="P73"/>
      <c r="Q73"/>
      <c r="R73"/>
      <c r="S73"/>
      <c r="T73"/>
      <c r="U73"/>
      <c r="V73"/>
      <c r="W73"/>
      <c r="X73"/>
      <c r="Y73"/>
      <c r="Z73"/>
      <c r="AA73"/>
      <c r="AB73"/>
      <c r="AC73"/>
      <c r="AD73"/>
      <c r="AE73"/>
      <c r="AF73"/>
      <c r="AG73"/>
      <c r="AH73"/>
    </row>
    <row r="74" spans="1:34" x14ac:dyDescent="0.25">
      <c r="A74"/>
      <c r="B74"/>
      <c r="C74"/>
      <c r="D74"/>
      <c r="E74"/>
      <c r="F74"/>
      <c r="G74"/>
      <c r="H74"/>
      <c r="I74"/>
      <c r="J74"/>
      <c r="K74"/>
      <c r="L74"/>
      <c r="M74"/>
      <c r="N74"/>
      <c r="O74"/>
      <c r="P74"/>
      <c r="Q74"/>
      <c r="R74"/>
      <c r="S74"/>
      <c r="T74"/>
      <c r="U74"/>
      <c r="V74"/>
      <c r="W74"/>
      <c r="X74"/>
      <c r="Y74"/>
      <c r="Z74"/>
      <c r="AA74"/>
      <c r="AB74"/>
      <c r="AC74"/>
      <c r="AD74"/>
      <c r="AE74"/>
      <c r="AF74"/>
      <c r="AG74"/>
      <c r="AH74"/>
    </row>
    <row r="75" spans="1:34" x14ac:dyDescent="0.25">
      <c r="A75"/>
      <c r="B75"/>
      <c r="C75"/>
      <c r="D75"/>
      <c r="E75"/>
      <c r="F75"/>
      <c r="G75"/>
      <c r="H75"/>
      <c r="I75"/>
      <c r="J75"/>
      <c r="K75"/>
      <c r="L75"/>
      <c r="M75"/>
      <c r="N75"/>
      <c r="O75"/>
      <c r="P75"/>
      <c r="Q75"/>
      <c r="R75"/>
      <c r="S75"/>
      <c r="T75"/>
      <c r="U75"/>
      <c r="V75"/>
      <c r="W75"/>
      <c r="X75"/>
      <c r="Y75"/>
      <c r="Z75"/>
      <c r="AA75"/>
      <c r="AB75"/>
      <c r="AC75"/>
      <c r="AD75"/>
      <c r="AE75"/>
      <c r="AF75"/>
      <c r="AG75"/>
      <c r="AH75"/>
    </row>
    <row r="76" spans="1:34" x14ac:dyDescent="0.25">
      <c r="A76"/>
      <c r="B76"/>
      <c r="C76"/>
      <c r="D76"/>
      <c r="E76"/>
      <c r="F76"/>
      <c r="G76"/>
      <c r="H76"/>
      <c r="I76"/>
      <c r="J76"/>
      <c r="K76"/>
      <c r="L76"/>
      <c r="M76"/>
      <c r="N76"/>
      <c r="O76"/>
      <c r="P76"/>
      <c r="Q76"/>
      <c r="R76"/>
      <c r="S76"/>
      <c r="T76"/>
      <c r="U76"/>
      <c r="V76"/>
      <c r="W76"/>
      <c r="X76"/>
      <c r="Y76"/>
      <c r="Z76"/>
      <c r="AA76"/>
      <c r="AB76"/>
      <c r="AC76"/>
      <c r="AD76"/>
      <c r="AE76"/>
      <c r="AF76"/>
      <c r="AG76"/>
      <c r="AH76"/>
    </row>
    <row r="77" spans="1:34" x14ac:dyDescent="0.25">
      <c r="A77"/>
      <c r="B77"/>
      <c r="C77"/>
      <c r="D77"/>
      <c r="E77"/>
      <c r="F77"/>
      <c r="G77"/>
      <c r="H77"/>
      <c r="I77"/>
      <c r="J77"/>
      <c r="K77"/>
      <c r="L77"/>
      <c r="M77"/>
      <c r="N77"/>
      <c r="O77"/>
      <c r="P77"/>
      <c r="Q77"/>
      <c r="R77"/>
      <c r="S77"/>
      <c r="T77"/>
      <c r="U77"/>
      <c r="V77"/>
      <c r="W77"/>
      <c r="X77"/>
      <c r="Y77"/>
      <c r="Z77"/>
      <c r="AA77"/>
      <c r="AB77"/>
      <c r="AC77"/>
      <c r="AD77"/>
      <c r="AE77"/>
      <c r="AF77"/>
      <c r="AG77"/>
      <c r="AH77"/>
    </row>
    <row r="78" spans="1:34" x14ac:dyDescent="0.25">
      <c r="A78"/>
      <c r="B78"/>
      <c r="C78"/>
      <c r="D78"/>
      <c r="E78"/>
      <c r="F78"/>
      <c r="G78"/>
      <c r="H78"/>
      <c r="I78"/>
      <c r="J78"/>
      <c r="K78"/>
      <c r="L78"/>
      <c r="M78"/>
      <c r="N78"/>
      <c r="O78"/>
      <c r="P78"/>
      <c r="Q78"/>
      <c r="R78"/>
      <c r="S78"/>
      <c r="T78"/>
      <c r="U78"/>
      <c r="V78"/>
      <c r="W78"/>
      <c r="X78"/>
      <c r="Y78"/>
      <c r="Z78"/>
      <c r="AA78"/>
      <c r="AB78"/>
      <c r="AC78"/>
      <c r="AD78"/>
      <c r="AE78"/>
      <c r="AF78"/>
      <c r="AG78"/>
      <c r="AH78"/>
    </row>
    <row r="79" spans="1:34" x14ac:dyDescent="0.25">
      <c r="A79"/>
      <c r="B79"/>
      <c r="C79"/>
      <c r="D79"/>
      <c r="E79"/>
      <c r="F79"/>
      <c r="G79"/>
      <c r="H79"/>
      <c r="I79"/>
      <c r="J79"/>
      <c r="K79"/>
      <c r="L79"/>
      <c r="M79"/>
      <c r="N79"/>
      <c r="O79"/>
      <c r="P79"/>
      <c r="Q79"/>
      <c r="R79"/>
      <c r="S79"/>
      <c r="T79"/>
      <c r="U79"/>
      <c r="V79"/>
      <c r="W79"/>
      <c r="X79"/>
      <c r="Y79"/>
      <c r="Z79"/>
      <c r="AA79"/>
      <c r="AB79"/>
      <c r="AC79"/>
      <c r="AD79"/>
      <c r="AE79"/>
      <c r="AF79"/>
      <c r="AG79"/>
      <c r="AH79"/>
    </row>
    <row r="80" spans="1:34" x14ac:dyDescent="0.25">
      <c r="A80"/>
      <c r="B80"/>
      <c r="C80"/>
      <c r="D80"/>
      <c r="E80"/>
      <c r="F80"/>
      <c r="G80"/>
      <c r="H80"/>
      <c r="I80"/>
      <c r="J80"/>
      <c r="K80"/>
      <c r="L80"/>
      <c r="M80"/>
      <c r="N80"/>
      <c r="O80"/>
      <c r="P80"/>
      <c r="Q80"/>
      <c r="R80"/>
      <c r="S80"/>
      <c r="T80"/>
      <c r="U80"/>
      <c r="V80"/>
      <c r="W80"/>
      <c r="X80"/>
      <c r="Y80"/>
      <c r="Z80"/>
      <c r="AA80"/>
      <c r="AB80"/>
      <c r="AC80"/>
      <c r="AD80"/>
      <c r="AE80"/>
      <c r="AF80"/>
      <c r="AG80"/>
      <c r="AH80"/>
    </row>
    <row r="81" spans="1:34" x14ac:dyDescent="0.25">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5">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5">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5">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5">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5">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5">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5">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5">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5">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5">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5">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5">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5">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5">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5">
      <c r="A96"/>
      <c r="B96"/>
      <c r="C96"/>
      <c r="D96"/>
      <c r="E96"/>
      <c r="F96"/>
      <c r="G96"/>
      <c r="H96"/>
      <c r="I96"/>
      <c r="J96"/>
      <c r="K96"/>
      <c r="L96"/>
      <c r="M96"/>
      <c r="N96"/>
      <c r="O96"/>
      <c r="P96"/>
      <c r="Q96"/>
      <c r="R96"/>
      <c r="S96"/>
      <c r="T96"/>
      <c r="U96"/>
      <c r="V96"/>
      <c r="W96"/>
      <c r="X96"/>
      <c r="Y96"/>
      <c r="Z96"/>
      <c r="AA96"/>
      <c r="AB96"/>
      <c r="AC96"/>
      <c r="AD96"/>
      <c r="AE96"/>
      <c r="AF96"/>
      <c r="AG96"/>
      <c r="AH96"/>
    </row>
    <row r="97" spans="1:34" x14ac:dyDescent="0.25">
      <c r="A97"/>
      <c r="B97"/>
      <c r="C97"/>
      <c r="D97"/>
      <c r="E97"/>
      <c r="F97"/>
      <c r="G97"/>
      <c r="H97"/>
      <c r="I97"/>
      <c r="J97"/>
      <c r="K97"/>
      <c r="L97"/>
      <c r="M97"/>
      <c r="N97"/>
      <c r="O97"/>
      <c r="P97"/>
      <c r="Q97"/>
      <c r="R97"/>
      <c r="S97"/>
      <c r="T97"/>
      <c r="U97"/>
      <c r="V97"/>
      <c r="W97"/>
      <c r="X97"/>
      <c r="Y97"/>
      <c r="Z97"/>
      <c r="AA97"/>
      <c r="AB97"/>
      <c r="AC97"/>
      <c r="AD97"/>
      <c r="AE97"/>
      <c r="AF97"/>
      <c r="AG97"/>
      <c r="AH97"/>
    </row>
    <row r="98" spans="1:34" x14ac:dyDescent="0.25">
      <c r="A98"/>
      <c r="B98"/>
      <c r="C98"/>
      <c r="D98"/>
      <c r="E98"/>
      <c r="F98"/>
      <c r="G98"/>
      <c r="H98"/>
      <c r="I98"/>
      <c r="J98"/>
      <c r="K98"/>
      <c r="L98"/>
      <c r="M98"/>
      <c r="N98"/>
      <c r="O98"/>
      <c r="P98"/>
      <c r="Q98"/>
      <c r="R98"/>
      <c r="S98"/>
      <c r="T98"/>
      <c r="U98"/>
      <c r="V98"/>
      <c r="W98"/>
      <c r="X98"/>
      <c r="Y98"/>
      <c r="Z98"/>
      <c r="AA98"/>
      <c r="AB98"/>
      <c r="AC98"/>
      <c r="AD98"/>
      <c r="AE98"/>
      <c r="AF98"/>
      <c r="AG98"/>
      <c r="AH98"/>
    </row>
    <row r="99" spans="1:34" x14ac:dyDescent="0.25">
      <c r="A99"/>
      <c r="B99"/>
      <c r="C99"/>
      <c r="D99"/>
      <c r="E99"/>
      <c r="F99"/>
      <c r="G99"/>
      <c r="H99"/>
      <c r="I99"/>
      <c r="J99"/>
      <c r="K99"/>
      <c r="L99"/>
      <c r="M99"/>
      <c r="N99"/>
      <c r="O99"/>
      <c r="P99"/>
      <c r="Q99"/>
      <c r="R99"/>
      <c r="S99"/>
      <c r="T99"/>
      <c r="U99"/>
      <c r="V99"/>
      <c r="W99"/>
      <c r="X99"/>
      <c r="Y99"/>
      <c r="Z99"/>
      <c r="AA99"/>
      <c r="AB99"/>
      <c r="AC99"/>
      <c r="AD99"/>
      <c r="AE99"/>
      <c r="AF99"/>
      <c r="AG99"/>
      <c r="AH99"/>
    </row>
    <row r="100" spans="1:34"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row>
    <row r="101" spans="1:34"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4"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4"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4"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4"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4"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4"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4"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4"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4"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4"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4"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4"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4"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4"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4"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4"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4"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sheetData>
  <sheetProtection formatColumns="0" formatRows="0"/>
  <mergeCells count="20">
    <mergeCell ref="B27:D27"/>
    <mergeCell ref="AC2:AD2"/>
    <mergeCell ref="U2:V2"/>
    <mergeCell ref="I2:J2"/>
    <mergeCell ref="O2:P2"/>
    <mergeCell ref="Q2:R2"/>
    <mergeCell ref="S2:T2"/>
    <mergeCell ref="M2:N2"/>
    <mergeCell ref="AA2:AB2"/>
    <mergeCell ref="Y2:Z2"/>
    <mergeCell ref="B23:D23"/>
    <mergeCell ref="B12:D12"/>
    <mergeCell ref="B18:D18"/>
    <mergeCell ref="D1:G1"/>
    <mergeCell ref="D5:G5"/>
    <mergeCell ref="D11:G11"/>
    <mergeCell ref="W2:X2"/>
    <mergeCell ref="B2:D2"/>
    <mergeCell ref="B6:D6"/>
    <mergeCell ref="K2:L2"/>
  </mergeCells>
  <phoneticPr fontId="2" type="noConversion"/>
  <conditionalFormatting sqref="E24:E25 E27 E2:E21">
    <cfRule type="cellIs" dxfId="128" priority="31" operator="equal">
      <formula>"N/A"</formula>
    </cfRule>
    <cfRule type="cellIs" dxfId="127" priority="32" stopIfTrue="1" operator="equal">
      <formula>"T-WVR"</formula>
    </cfRule>
    <cfRule type="cellIs" dxfId="126" priority="33" stopIfTrue="1" operator="equal">
      <formula>"Yes-N/A"</formula>
    </cfRule>
    <cfRule type="cellIs" dxfId="125" priority="34" stopIfTrue="1" operator="equal">
      <formula>"P-WVR"</formula>
    </cfRule>
    <cfRule type="cellIs" dxfId="124" priority="35" stopIfTrue="1" operator="equal">
      <formula>"No"</formula>
    </cfRule>
    <cfRule type="cellIs" dxfId="123" priority="36" stopIfTrue="1" operator="equal">
      <formula>"Yes"</formula>
    </cfRule>
    <cfRule type="cellIs" dxfId="122" priority="37" stopIfTrue="1" operator="equal">
      <formula>"WVR"</formula>
    </cfRule>
    <cfRule type="cellIs" dxfId="121" priority="38" stopIfTrue="1" operator="equal">
      <formula>"R"</formula>
    </cfRule>
    <cfRule type="cellIs" dxfId="120" priority="39" stopIfTrue="1" operator="equal">
      <formula>"Y"</formula>
    </cfRule>
    <cfRule type="cellIs" dxfId="119" priority="40" stopIfTrue="1" operator="equal">
      <formula>"G"</formula>
    </cfRule>
  </conditionalFormatting>
  <conditionalFormatting sqref="E22:E23">
    <cfRule type="cellIs" dxfId="118" priority="21" operator="equal">
      <formula>"N/A"</formula>
    </cfRule>
    <cfRule type="cellIs" dxfId="117" priority="22" stopIfTrue="1" operator="equal">
      <formula>"T-WVR"</formula>
    </cfRule>
    <cfRule type="cellIs" dxfId="116" priority="23" stopIfTrue="1" operator="equal">
      <formula>"Yes-N/A"</formula>
    </cfRule>
    <cfRule type="cellIs" dxfId="115" priority="24" stopIfTrue="1" operator="equal">
      <formula>"P-WVR"</formula>
    </cfRule>
    <cfRule type="cellIs" dxfId="114" priority="25" stopIfTrue="1" operator="equal">
      <formula>"No"</formula>
    </cfRule>
    <cfRule type="cellIs" dxfId="113" priority="26" stopIfTrue="1" operator="equal">
      <formula>"Yes"</formula>
    </cfRule>
    <cfRule type="cellIs" dxfId="112" priority="27" stopIfTrue="1" operator="equal">
      <formula>"WVR"</formula>
    </cfRule>
    <cfRule type="cellIs" dxfId="111" priority="28" stopIfTrue="1" operator="equal">
      <formula>"R"</formula>
    </cfRule>
    <cfRule type="cellIs" dxfId="110" priority="29" stopIfTrue="1" operator="equal">
      <formula>"Y"</formula>
    </cfRule>
    <cfRule type="cellIs" dxfId="109" priority="30" stopIfTrue="1" operator="equal">
      <formula>"G"</formula>
    </cfRule>
  </conditionalFormatting>
  <conditionalFormatting sqref="E28">
    <cfRule type="cellIs" dxfId="108" priority="11" operator="equal">
      <formula>"N/A"</formula>
    </cfRule>
    <cfRule type="cellIs" dxfId="107" priority="12" stopIfTrue="1" operator="equal">
      <formula>"T-WVR"</formula>
    </cfRule>
    <cfRule type="cellIs" dxfId="106" priority="13" stopIfTrue="1" operator="equal">
      <formula>"Yes-N/A"</formula>
    </cfRule>
    <cfRule type="cellIs" dxfId="105" priority="14" stopIfTrue="1" operator="equal">
      <formula>"P-WVR"</formula>
    </cfRule>
    <cfRule type="cellIs" dxfId="104" priority="15" stopIfTrue="1" operator="equal">
      <formula>"No"</formula>
    </cfRule>
    <cfRule type="cellIs" dxfId="103" priority="16" stopIfTrue="1" operator="equal">
      <formula>"Yes"</formula>
    </cfRule>
    <cfRule type="cellIs" dxfId="102" priority="17" stopIfTrue="1" operator="equal">
      <formula>"WVR"</formula>
    </cfRule>
    <cfRule type="cellIs" dxfId="101" priority="18" stopIfTrue="1" operator="equal">
      <formula>"R"</formula>
    </cfRule>
    <cfRule type="cellIs" dxfId="100" priority="19" stopIfTrue="1" operator="equal">
      <formula>"Y"</formula>
    </cfRule>
    <cfRule type="cellIs" dxfId="99" priority="20" stopIfTrue="1" operator="equal">
      <formula>"G"</formula>
    </cfRule>
  </conditionalFormatting>
  <conditionalFormatting sqref="E29">
    <cfRule type="cellIs" dxfId="98" priority="1" operator="equal">
      <formula>"N/A"</formula>
    </cfRule>
    <cfRule type="cellIs" dxfId="97" priority="2" stopIfTrue="1" operator="equal">
      <formula>"T-WVR"</formula>
    </cfRule>
    <cfRule type="cellIs" dxfId="96" priority="3" stopIfTrue="1" operator="equal">
      <formula>"Yes-N/A"</formula>
    </cfRule>
    <cfRule type="cellIs" dxfId="95" priority="4" stopIfTrue="1" operator="equal">
      <formula>"P-WVR"</formula>
    </cfRule>
    <cfRule type="cellIs" dxfId="94" priority="5" stopIfTrue="1" operator="equal">
      <formula>"No"</formula>
    </cfRule>
    <cfRule type="cellIs" dxfId="93" priority="6" stopIfTrue="1" operator="equal">
      <formula>"Yes"</formula>
    </cfRule>
    <cfRule type="cellIs" dxfId="92" priority="7" stopIfTrue="1" operator="equal">
      <formula>"WVR"</formula>
    </cfRule>
    <cfRule type="cellIs" dxfId="91" priority="8" stopIfTrue="1" operator="equal">
      <formula>"R"</formula>
    </cfRule>
    <cfRule type="cellIs" dxfId="90" priority="9" stopIfTrue="1" operator="equal">
      <formula>"Y"</formula>
    </cfRule>
    <cfRule type="cellIs" dxfId="89" priority="10" stopIfTrue="1" operator="equal">
      <formula>"G"</formula>
    </cfRule>
  </conditionalFormatting>
  <dataValidations count="4">
    <dataValidation type="list" allowBlank="1" showInputMessage="1" showErrorMessage="1" sqref="E13:E16 E7:E10 E19:E21 E24:E25 E28:E29">
      <formula1>ValidValues</formula1>
    </dataValidation>
    <dataValidation type="list" allowBlank="1" showInputMessage="1" showErrorMessage="1" sqref="E23 E6 E12 E18 E27">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29">
      <formula1>1</formula1>
      <formula2>10000</formula2>
    </dataValidation>
  </dataValidations>
  <pageMargins left="0.7" right="0.7" top="0.75" bottom="0.75" header="0.3" footer="0.3"/>
  <pageSetup scale="97" fitToHeight="100" orientation="landscape" r:id="rId1"/>
  <headerFooter alignWithMargins="0">
    <oddHeader>&amp;L&amp;F&amp;C&amp;A&amp;R&amp;D</oddHeader>
    <oddFooter>&amp;C&amp;P of &amp;N</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autoPageBreaks="0" fitToPage="1"/>
  </sheetPr>
  <dimension ref="A1:AD14"/>
  <sheetViews>
    <sheetView zoomScaleNormal="100" workbookViewId="0">
      <pane ySplit="4" topLeftCell="A5" activePane="bottomLeft" state="frozen"/>
      <selection pane="bottomLeft" activeCell="E7" sqref="E7"/>
    </sheetView>
  </sheetViews>
  <sheetFormatPr defaultRowHeight="12.5" x14ac:dyDescent="0.25"/>
  <cols>
    <col min="1" max="1" width="1.81640625" customWidth="1"/>
    <col min="2" max="2" width="5.7265625" customWidth="1"/>
    <col min="3" max="3" width="9.1796875" customWidth="1"/>
    <col min="4" max="4" width="54.453125" customWidth="1"/>
    <col min="5" max="5" width="8" customWidth="1"/>
    <col min="6" max="6" width="41.54296875" customWidth="1"/>
    <col min="7" max="7" width="9.453125" customWidth="1"/>
    <col min="8" max="8" width="2" bestFit="1" customWidth="1"/>
    <col min="9" max="12" width="3.81640625" customWidth="1"/>
    <col min="13" max="13" width="3.7265625" customWidth="1"/>
    <col min="14" max="30" width="3.81640625" customWidth="1"/>
  </cols>
  <sheetData>
    <row r="1" spans="1:30" ht="18" x14ac:dyDescent="0.25">
      <c r="A1" s="212" t="s">
        <v>559</v>
      </c>
      <c r="B1" s="372" t="s">
        <v>143</v>
      </c>
      <c r="C1" s="371">
        <v>8</v>
      </c>
      <c r="D1" s="580" t="s">
        <v>14</v>
      </c>
      <c r="E1" s="581"/>
      <c r="F1" s="581"/>
      <c r="G1" s="582"/>
      <c r="H1" s="287" t="str">
        <f>HYPERLINK(CONCATENATE("http://garwiki.regn.net/mediawiki/index.php/",SUBSTITUTE(D1," ","_"),"_(principle)"),"?")</f>
        <v>?</v>
      </c>
      <c r="I1" s="134" t="s">
        <v>414</v>
      </c>
      <c r="J1" s="134" t="s">
        <v>415</v>
      </c>
      <c r="K1" s="134" t="s">
        <v>414</v>
      </c>
      <c r="L1" s="134" t="s">
        <v>415</v>
      </c>
      <c r="M1" s="134" t="s">
        <v>414</v>
      </c>
      <c r="N1" s="134" t="s">
        <v>415</v>
      </c>
      <c r="O1" s="134" t="s">
        <v>414</v>
      </c>
      <c r="P1" s="134" t="s">
        <v>415</v>
      </c>
      <c r="Q1" s="134" t="s">
        <v>414</v>
      </c>
      <c r="R1" s="134" t="s">
        <v>415</v>
      </c>
      <c r="S1" s="134" t="s">
        <v>414</v>
      </c>
      <c r="T1" s="134" t="s">
        <v>415</v>
      </c>
      <c r="U1" s="134" t="s">
        <v>414</v>
      </c>
      <c r="V1" s="134" t="s">
        <v>415</v>
      </c>
      <c r="W1" s="134" t="s">
        <v>414</v>
      </c>
      <c r="X1" s="134" t="s">
        <v>415</v>
      </c>
      <c r="Y1" s="134" t="s">
        <v>414</v>
      </c>
      <c r="Z1" s="134" t="s">
        <v>415</v>
      </c>
      <c r="AA1" s="134" t="s">
        <v>414</v>
      </c>
      <c r="AB1" s="134" t="s">
        <v>415</v>
      </c>
      <c r="AC1" s="134" t="s">
        <v>414</v>
      </c>
      <c r="AD1" s="134" t="s">
        <v>415</v>
      </c>
    </row>
    <row r="2" spans="1:30" ht="36" customHeight="1" x14ac:dyDescent="0.25">
      <c r="A2" s="212"/>
      <c r="B2" s="605" t="s">
        <v>1210</v>
      </c>
      <c r="C2" s="605"/>
      <c r="D2" s="596"/>
      <c r="E2" s="179"/>
      <c r="F2" s="303" t="s">
        <v>31</v>
      </c>
      <c r="G2" s="270"/>
      <c r="H2" s="142"/>
      <c r="I2" s="579" t="s">
        <v>883</v>
      </c>
      <c r="J2" s="579"/>
      <c r="K2" s="579" t="s">
        <v>882</v>
      </c>
      <c r="L2" s="579"/>
      <c r="M2" s="579" t="s">
        <v>416</v>
      </c>
      <c r="N2" s="579"/>
      <c r="O2" s="579" t="s">
        <v>312</v>
      </c>
      <c r="P2" s="579"/>
      <c r="Q2" s="579" t="s">
        <v>313</v>
      </c>
      <c r="R2" s="579"/>
      <c r="S2" s="579" t="s">
        <v>311</v>
      </c>
      <c r="T2" s="579"/>
      <c r="U2" s="579" t="s">
        <v>314</v>
      </c>
      <c r="V2" s="579"/>
      <c r="W2" s="583" t="s">
        <v>565</v>
      </c>
      <c r="X2" s="584"/>
      <c r="Y2" s="583" t="s">
        <v>887</v>
      </c>
      <c r="Z2" s="584"/>
      <c r="AA2" s="583" t="s">
        <v>888</v>
      </c>
      <c r="AB2" s="584"/>
      <c r="AC2" s="583" t="s">
        <v>889</v>
      </c>
      <c r="AD2" s="584"/>
    </row>
    <row r="3" spans="1:30" ht="13" thickBot="1" x14ac:dyDescent="0.3">
      <c r="A3" s="212"/>
      <c r="C3" s="3"/>
      <c r="E3" s="75"/>
      <c r="F3" s="87"/>
      <c r="H3" s="142"/>
      <c r="I3" s="106"/>
      <c r="J3" s="106"/>
      <c r="K3" s="106"/>
      <c r="L3" s="106"/>
      <c r="M3" s="226"/>
      <c r="N3" s="226"/>
      <c r="O3" s="106"/>
      <c r="P3" s="106"/>
      <c r="Q3" s="106"/>
      <c r="R3" s="106"/>
      <c r="S3" s="106"/>
      <c r="T3" s="106"/>
      <c r="U3" s="106"/>
      <c r="V3" s="106"/>
      <c r="W3" s="106"/>
      <c r="X3" s="106"/>
      <c r="Y3" s="106"/>
      <c r="Z3" s="106"/>
      <c r="AA3" s="106"/>
      <c r="AB3" s="106"/>
      <c r="AC3" s="106"/>
      <c r="AD3" s="106"/>
    </row>
    <row r="4" spans="1:30" ht="26" x14ac:dyDescent="0.25">
      <c r="A4" s="212"/>
      <c r="B4" s="162" t="s">
        <v>50</v>
      </c>
      <c r="C4" s="44" t="s">
        <v>51</v>
      </c>
      <c r="D4" s="44" t="s">
        <v>35</v>
      </c>
      <c r="E4" s="53" t="s">
        <v>24</v>
      </c>
      <c r="F4" s="163" t="s">
        <v>36</v>
      </c>
      <c r="G4" s="248" t="s">
        <v>656</v>
      </c>
      <c r="H4" s="142"/>
      <c r="I4" s="111" t="s">
        <v>144</v>
      </c>
      <c r="J4" s="111" t="s">
        <v>144</v>
      </c>
      <c r="K4" s="111" t="s">
        <v>144</v>
      </c>
      <c r="L4" s="111" t="s">
        <v>144</v>
      </c>
      <c r="M4" s="111" t="s">
        <v>144</v>
      </c>
      <c r="N4" s="111" t="s">
        <v>144</v>
      </c>
      <c r="O4" s="111" t="s">
        <v>144</v>
      </c>
      <c r="P4" s="111" t="s">
        <v>144</v>
      </c>
      <c r="Q4" s="111" t="s">
        <v>144</v>
      </c>
      <c r="R4" s="111" t="s">
        <v>144</v>
      </c>
      <c r="S4" s="111" t="s">
        <v>144</v>
      </c>
      <c r="T4" s="111" t="s">
        <v>144</v>
      </c>
      <c r="U4" s="111" t="s">
        <v>144</v>
      </c>
      <c r="V4" s="111" t="s">
        <v>144</v>
      </c>
      <c r="W4" s="111" t="s">
        <v>144</v>
      </c>
      <c r="X4" s="111" t="s">
        <v>144</v>
      </c>
      <c r="Y4" s="111" t="s">
        <v>144</v>
      </c>
      <c r="Z4" s="111" t="s">
        <v>144</v>
      </c>
      <c r="AA4" s="111" t="s">
        <v>144</v>
      </c>
      <c r="AB4" s="111" t="s">
        <v>144</v>
      </c>
      <c r="AC4" s="111" t="s">
        <v>144</v>
      </c>
      <c r="AD4" s="111" t="s">
        <v>144</v>
      </c>
    </row>
    <row r="5" spans="1:30" ht="13" x14ac:dyDescent="0.25">
      <c r="A5" s="212" t="s">
        <v>546</v>
      </c>
      <c r="B5" s="132" t="s">
        <v>143</v>
      </c>
      <c r="C5" s="131" t="s">
        <v>295</v>
      </c>
      <c r="D5" s="574" t="s">
        <v>1200</v>
      </c>
      <c r="E5" s="575"/>
      <c r="F5" s="575"/>
      <c r="G5" s="576"/>
      <c r="H5" s="287" t="str">
        <f>HYPERLINK(CONCATENATE("http://garwiki.regn.net/mediawiki/index.php/",SUBSTITUTE(D5," ","_"),"_(golden_rule)"),"?")</f>
        <v>?</v>
      </c>
      <c r="I5" s="130" t="str">
        <f>I6</f>
        <v/>
      </c>
      <c r="J5" s="130" t="str">
        <f t="shared" ref="J5:AD5" si="0">J6</f>
        <v/>
      </c>
      <c r="K5" s="130" t="str">
        <f>K6</f>
        <v/>
      </c>
      <c r="L5" s="130" t="str">
        <f t="shared" si="0"/>
        <v/>
      </c>
      <c r="M5" s="130" t="str">
        <f t="shared" si="0"/>
        <v/>
      </c>
      <c r="N5" s="130" t="str">
        <f t="shared" si="0"/>
        <v/>
      </c>
      <c r="O5" s="130" t="str">
        <f t="shared" si="0"/>
        <v/>
      </c>
      <c r="P5" s="130" t="str">
        <f t="shared" si="0"/>
        <v>x</v>
      </c>
      <c r="Q5" s="130" t="str">
        <f t="shared" si="0"/>
        <v/>
      </c>
      <c r="R5" s="130" t="str">
        <f t="shared" si="0"/>
        <v>x</v>
      </c>
      <c r="S5" s="130" t="str">
        <f t="shared" si="0"/>
        <v/>
      </c>
      <c r="T5" s="130" t="str">
        <f t="shared" si="0"/>
        <v>x</v>
      </c>
      <c r="U5" s="130" t="str">
        <f t="shared" si="0"/>
        <v/>
      </c>
      <c r="V5" s="130" t="str">
        <f t="shared" si="0"/>
        <v>x</v>
      </c>
      <c r="W5" s="130" t="str">
        <f t="shared" si="0"/>
        <v/>
      </c>
      <c r="X5" s="130" t="str">
        <f t="shared" si="0"/>
        <v>x</v>
      </c>
      <c r="Y5" s="130" t="str">
        <f t="shared" si="0"/>
        <v/>
      </c>
      <c r="Z5" s="130" t="str">
        <f t="shared" si="0"/>
        <v/>
      </c>
      <c r="AA5" s="130" t="str">
        <f t="shared" si="0"/>
        <v/>
      </c>
      <c r="AB5" s="130" t="str">
        <f t="shared" si="0"/>
        <v/>
      </c>
      <c r="AC5" s="130" t="str">
        <f t="shared" si="0"/>
        <v/>
      </c>
      <c r="AD5" s="130" t="str">
        <f t="shared" si="0"/>
        <v/>
      </c>
    </row>
    <row r="6" spans="1:30" x14ac:dyDescent="0.25">
      <c r="A6" s="212"/>
      <c r="B6" s="569" t="s">
        <v>1200</v>
      </c>
      <c r="C6" s="570"/>
      <c r="D6" s="597"/>
      <c r="E6" s="179"/>
      <c r="F6" s="305" t="s">
        <v>31</v>
      </c>
      <c r="G6" s="160"/>
      <c r="H6" s="142"/>
      <c r="I6" s="105" t="str">
        <f t="shared" ref="I6:AD6" si="1">IF(COUNTIF(I7:I7,"x")=0,"","x")</f>
        <v/>
      </c>
      <c r="J6" s="105" t="str">
        <f t="shared" si="1"/>
        <v/>
      </c>
      <c r="K6" s="105" t="str">
        <f t="shared" si="1"/>
        <v/>
      </c>
      <c r="L6" s="105" t="str">
        <f t="shared" si="1"/>
        <v/>
      </c>
      <c r="M6" s="105" t="str">
        <f t="shared" si="1"/>
        <v/>
      </c>
      <c r="N6" s="105" t="str">
        <f t="shared" si="1"/>
        <v/>
      </c>
      <c r="O6" s="105" t="str">
        <f t="shared" si="1"/>
        <v/>
      </c>
      <c r="P6" s="105" t="str">
        <f t="shared" si="1"/>
        <v>x</v>
      </c>
      <c r="Q6" s="105" t="str">
        <f t="shared" si="1"/>
        <v/>
      </c>
      <c r="R6" s="105" t="str">
        <f t="shared" si="1"/>
        <v>x</v>
      </c>
      <c r="S6" s="105" t="str">
        <f t="shared" si="1"/>
        <v/>
      </c>
      <c r="T6" s="105" t="str">
        <f t="shared" si="1"/>
        <v>x</v>
      </c>
      <c r="U6" s="105" t="str">
        <f t="shared" si="1"/>
        <v/>
      </c>
      <c r="V6" s="105" t="str">
        <f t="shared" si="1"/>
        <v>x</v>
      </c>
      <c r="W6" s="105" t="str">
        <f t="shared" si="1"/>
        <v/>
      </c>
      <c r="X6" s="105" t="str">
        <f t="shared" si="1"/>
        <v>x</v>
      </c>
      <c r="Y6" s="105" t="str">
        <f t="shared" si="1"/>
        <v/>
      </c>
      <c r="Z6" s="105" t="str">
        <f t="shared" si="1"/>
        <v/>
      </c>
      <c r="AA6" s="105" t="str">
        <f t="shared" si="1"/>
        <v/>
      </c>
      <c r="AB6" s="105" t="str">
        <f t="shared" si="1"/>
        <v/>
      </c>
      <c r="AC6" s="105" t="str">
        <f t="shared" si="1"/>
        <v/>
      </c>
      <c r="AD6" s="105" t="str">
        <f t="shared" si="1"/>
        <v/>
      </c>
    </row>
    <row r="7" spans="1:30" ht="25" x14ac:dyDescent="0.25">
      <c r="A7" s="212" t="s">
        <v>547</v>
      </c>
      <c r="B7" s="49" t="s">
        <v>52</v>
      </c>
      <c r="C7" s="373" t="s">
        <v>0</v>
      </c>
      <c r="D7" s="408" t="s">
        <v>989</v>
      </c>
      <c r="E7" s="144"/>
      <c r="F7" s="296"/>
      <c r="G7" s="161"/>
      <c r="H7" s="287" t="str">
        <f>HYPERLINK(CONCATENATE("http://garwiki.regn.net/mediawiki/index.php/Scorecard_Rule_",MID(A7,FIND(":",A7)+1,9)),"?")</f>
        <v>?</v>
      </c>
      <c r="I7" s="105"/>
      <c r="J7" s="105"/>
      <c r="K7" s="105"/>
      <c r="L7" s="105"/>
      <c r="M7" s="226"/>
      <c r="N7" s="226"/>
      <c r="O7" s="105"/>
      <c r="P7" s="105" t="s">
        <v>144</v>
      </c>
      <c r="Q7" s="105"/>
      <c r="R7" s="105" t="s">
        <v>144</v>
      </c>
      <c r="S7" s="105"/>
      <c r="T7" s="105" t="s">
        <v>144</v>
      </c>
      <c r="U7" s="105"/>
      <c r="V7" s="105" t="s">
        <v>144</v>
      </c>
      <c r="W7" s="105"/>
      <c r="X7" s="105" t="s">
        <v>144</v>
      </c>
      <c r="Y7" s="106"/>
      <c r="Z7" s="106"/>
      <c r="AA7" s="106"/>
      <c r="AB7" s="106"/>
      <c r="AC7" s="106"/>
      <c r="AD7" s="106"/>
    </row>
    <row r="8" spans="1:30" ht="13" x14ac:dyDescent="0.25">
      <c r="A8" s="212" t="s">
        <v>560</v>
      </c>
      <c r="B8" s="132" t="s">
        <v>143</v>
      </c>
      <c r="C8" s="131" t="s">
        <v>298</v>
      </c>
      <c r="D8" s="574" t="s">
        <v>1201</v>
      </c>
      <c r="E8" s="575"/>
      <c r="F8" s="575"/>
      <c r="G8" s="576"/>
      <c r="H8" s="287" t="str">
        <f>HYPERLINK(CONCATENATE("http://garwiki.regn.net/mediawiki/index.php/",SUBSTITUTE(D8," ","_"),"_(golden_rule)"),"?")</f>
        <v>?</v>
      </c>
      <c r="I8" s="130" t="str">
        <f>I9</f>
        <v/>
      </c>
      <c r="J8" s="130" t="str">
        <f t="shared" ref="J8:AD8" si="2">J9</f>
        <v>x</v>
      </c>
      <c r="K8" s="130" t="str">
        <f>K9</f>
        <v/>
      </c>
      <c r="L8" s="130" t="str">
        <f t="shared" si="2"/>
        <v>x</v>
      </c>
      <c r="M8" s="130" t="str">
        <f t="shared" si="2"/>
        <v/>
      </c>
      <c r="N8" s="130" t="str">
        <f t="shared" si="2"/>
        <v>x</v>
      </c>
      <c r="O8" s="130" t="str">
        <f t="shared" si="2"/>
        <v/>
      </c>
      <c r="P8" s="130" t="str">
        <f t="shared" si="2"/>
        <v>x</v>
      </c>
      <c r="Q8" s="130" t="str">
        <f t="shared" si="2"/>
        <v/>
      </c>
      <c r="R8" s="130" t="str">
        <f t="shared" si="2"/>
        <v>x</v>
      </c>
      <c r="S8" s="130" t="str">
        <f t="shared" si="2"/>
        <v/>
      </c>
      <c r="T8" s="130" t="str">
        <f t="shared" si="2"/>
        <v>x</v>
      </c>
      <c r="U8" s="130" t="str">
        <f t="shared" si="2"/>
        <v/>
      </c>
      <c r="V8" s="130" t="str">
        <f t="shared" si="2"/>
        <v>x</v>
      </c>
      <c r="W8" s="130" t="str">
        <f t="shared" si="2"/>
        <v/>
      </c>
      <c r="X8" s="130" t="str">
        <f t="shared" si="2"/>
        <v>x</v>
      </c>
      <c r="Y8" s="130" t="str">
        <f t="shared" si="2"/>
        <v/>
      </c>
      <c r="Z8" s="130" t="str">
        <f t="shared" si="2"/>
        <v/>
      </c>
      <c r="AA8" s="130" t="str">
        <f t="shared" si="2"/>
        <v/>
      </c>
      <c r="AB8" s="130" t="str">
        <f t="shared" si="2"/>
        <v/>
      </c>
      <c r="AC8" s="130" t="str">
        <f t="shared" si="2"/>
        <v/>
      </c>
      <c r="AD8" s="130" t="str">
        <f t="shared" si="2"/>
        <v/>
      </c>
    </row>
    <row r="9" spans="1:30" ht="25.5" customHeight="1" x14ac:dyDescent="0.25">
      <c r="A9" s="212"/>
      <c r="B9" s="569" t="s">
        <v>1201</v>
      </c>
      <c r="C9" s="570"/>
      <c r="D9" s="597"/>
      <c r="E9" s="179"/>
      <c r="F9" s="305" t="s">
        <v>31</v>
      </c>
      <c r="G9" s="160"/>
      <c r="H9" s="287"/>
      <c r="I9" s="306" t="str">
        <f t="shared" ref="I9:AD9" si="3">IF(COUNTIF(I10:I11,"x")=0,"","x")</f>
        <v/>
      </c>
      <c r="J9" s="306" t="str">
        <f t="shared" si="3"/>
        <v>x</v>
      </c>
      <c r="K9" s="306" t="str">
        <f t="shared" si="3"/>
        <v/>
      </c>
      <c r="L9" s="306" t="str">
        <f t="shared" si="3"/>
        <v>x</v>
      </c>
      <c r="M9" s="306" t="str">
        <f t="shared" si="3"/>
        <v/>
      </c>
      <c r="N9" s="306" t="str">
        <f t="shared" si="3"/>
        <v>x</v>
      </c>
      <c r="O9" s="306" t="str">
        <f t="shared" si="3"/>
        <v/>
      </c>
      <c r="P9" s="306" t="str">
        <f t="shared" si="3"/>
        <v>x</v>
      </c>
      <c r="Q9" s="306" t="str">
        <f t="shared" si="3"/>
        <v/>
      </c>
      <c r="R9" s="306" t="str">
        <f t="shared" si="3"/>
        <v>x</v>
      </c>
      <c r="S9" s="306" t="str">
        <f t="shared" si="3"/>
        <v/>
      </c>
      <c r="T9" s="306" t="str">
        <f t="shared" si="3"/>
        <v>x</v>
      </c>
      <c r="U9" s="306" t="str">
        <f t="shared" si="3"/>
        <v/>
      </c>
      <c r="V9" s="306" t="str">
        <f t="shared" si="3"/>
        <v>x</v>
      </c>
      <c r="W9" s="306" t="str">
        <f t="shared" si="3"/>
        <v/>
      </c>
      <c r="X9" s="306" t="str">
        <f t="shared" si="3"/>
        <v>x</v>
      </c>
      <c r="Y9" s="306" t="str">
        <f t="shared" si="3"/>
        <v/>
      </c>
      <c r="Z9" s="306" t="str">
        <f t="shared" si="3"/>
        <v/>
      </c>
      <c r="AA9" s="306" t="str">
        <f t="shared" si="3"/>
        <v/>
      </c>
      <c r="AB9" s="306" t="str">
        <f t="shared" si="3"/>
        <v/>
      </c>
      <c r="AC9" s="306" t="str">
        <f t="shared" si="3"/>
        <v/>
      </c>
      <c r="AD9" s="306" t="str">
        <f t="shared" si="3"/>
        <v/>
      </c>
    </row>
    <row r="10" spans="1:30" ht="25" x14ac:dyDescent="0.25">
      <c r="A10" s="212" t="s">
        <v>561</v>
      </c>
      <c r="B10" s="39" t="s">
        <v>52</v>
      </c>
      <c r="C10" s="373" t="s">
        <v>2</v>
      </c>
      <c r="D10" s="408" t="s">
        <v>18</v>
      </c>
      <c r="E10" s="144"/>
      <c r="F10" s="296"/>
      <c r="G10" s="161"/>
      <c r="H10" s="287" t="str">
        <f t="shared" ref="H10:H11" si="4">HYPERLINK(CONCATENATE("http://garwiki.regn.net/mediawiki/index.php/Scorecard_Rule_",MID(A10,FIND(":",A10)+1,9)),"?")</f>
        <v>?</v>
      </c>
      <c r="I10" s="105" t="s">
        <v>143</v>
      </c>
      <c r="J10" s="105" t="s">
        <v>144</v>
      </c>
      <c r="K10" s="105" t="s">
        <v>143</v>
      </c>
      <c r="L10" s="105" t="s">
        <v>144</v>
      </c>
      <c r="M10" s="226"/>
      <c r="N10" s="136" t="s">
        <v>144</v>
      </c>
      <c r="O10" s="105" t="s">
        <v>143</v>
      </c>
      <c r="P10" s="105" t="s">
        <v>144</v>
      </c>
      <c r="Q10" s="105" t="s">
        <v>143</v>
      </c>
      <c r="R10" s="105" t="s">
        <v>144</v>
      </c>
      <c r="S10" s="105" t="s">
        <v>143</v>
      </c>
      <c r="T10" s="105" t="s">
        <v>144</v>
      </c>
      <c r="U10" s="105" t="s">
        <v>143</v>
      </c>
      <c r="V10" s="105" t="s">
        <v>144</v>
      </c>
      <c r="W10" s="105"/>
      <c r="X10" s="105" t="s">
        <v>144</v>
      </c>
      <c r="Y10" s="106"/>
      <c r="Z10" s="106"/>
      <c r="AA10" s="106"/>
      <c r="AB10" s="106"/>
      <c r="AC10" s="106"/>
      <c r="AD10" s="106"/>
    </row>
    <row r="11" spans="1:30" ht="25.5" thickBot="1" x14ac:dyDescent="0.3">
      <c r="A11" s="212" t="s">
        <v>562</v>
      </c>
      <c r="B11" s="45" t="s">
        <v>52</v>
      </c>
      <c r="C11" s="373" t="s">
        <v>7</v>
      </c>
      <c r="D11" s="409" t="s">
        <v>990</v>
      </c>
      <c r="E11" s="144"/>
      <c r="F11" s="296"/>
      <c r="G11" s="161"/>
      <c r="H11" s="287" t="str">
        <f t="shared" si="4"/>
        <v>?</v>
      </c>
      <c r="I11" s="105" t="s">
        <v>143</v>
      </c>
      <c r="J11" s="105" t="s">
        <v>144</v>
      </c>
      <c r="K11" s="105" t="s">
        <v>143</v>
      </c>
      <c r="L11" s="105" t="s">
        <v>144</v>
      </c>
      <c r="M11" s="226"/>
      <c r="N11" s="136" t="s">
        <v>144</v>
      </c>
      <c r="O11" s="105" t="s">
        <v>143</v>
      </c>
      <c r="P11" s="105" t="s">
        <v>144</v>
      </c>
      <c r="Q11" s="105" t="s">
        <v>143</v>
      </c>
      <c r="R11" s="105" t="s">
        <v>144</v>
      </c>
      <c r="S11" s="105" t="s">
        <v>143</v>
      </c>
      <c r="T11" s="105" t="s">
        <v>144</v>
      </c>
      <c r="U11" s="105" t="s">
        <v>143</v>
      </c>
      <c r="V11" s="105" t="s">
        <v>144</v>
      </c>
      <c r="W11" s="105"/>
      <c r="X11" s="105" t="s">
        <v>144</v>
      </c>
      <c r="Y11" s="105"/>
      <c r="Z11" s="105"/>
      <c r="AA11" s="105"/>
      <c r="AB11" s="105"/>
      <c r="AC11" s="105"/>
      <c r="AD11" s="105"/>
    </row>
    <row r="12" spans="1:30" ht="13" x14ac:dyDescent="0.25">
      <c r="A12" s="212" t="s">
        <v>563</v>
      </c>
      <c r="B12" s="132" t="s">
        <v>143</v>
      </c>
      <c r="C12" s="131" t="s">
        <v>301</v>
      </c>
      <c r="D12" s="606" t="s">
        <v>1202</v>
      </c>
      <c r="E12" s="607"/>
      <c r="F12" s="607"/>
      <c r="G12" s="608"/>
      <c r="H12" s="287" t="str">
        <f>HYPERLINK(CONCATENATE("http://garwiki.regn.net/mediawiki/index.php/",SUBSTITUTE(D12," ","_"),"_(golden_rule)"),"?")</f>
        <v>?</v>
      </c>
      <c r="I12" s="130" t="str">
        <f>I13</f>
        <v/>
      </c>
      <c r="J12" s="130" t="str">
        <f t="shared" ref="J12:AD12" si="5">J13</f>
        <v>x</v>
      </c>
      <c r="K12" s="130" t="str">
        <f>K13</f>
        <v/>
      </c>
      <c r="L12" s="130" t="str">
        <f t="shared" si="5"/>
        <v>x</v>
      </c>
      <c r="M12" s="130" t="str">
        <f t="shared" si="5"/>
        <v/>
      </c>
      <c r="N12" s="130" t="str">
        <f t="shared" si="5"/>
        <v>x</v>
      </c>
      <c r="O12" s="130" t="str">
        <f t="shared" si="5"/>
        <v/>
      </c>
      <c r="P12" s="130" t="str">
        <f t="shared" si="5"/>
        <v>x</v>
      </c>
      <c r="Q12" s="130" t="str">
        <f t="shared" si="5"/>
        <v/>
      </c>
      <c r="R12" s="130" t="str">
        <f t="shared" si="5"/>
        <v>x</v>
      </c>
      <c r="S12" s="130" t="str">
        <f t="shared" si="5"/>
        <v/>
      </c>
      <c r="T12" s="130" t="str">
        <f t="shared" si="5"/>
        <v>x</v>
      </c>
      <c r="U12" s="130" t="str">
        <f t="shared" si="5"/>
        <v/>
      </c>
      <c r="V12" s="130" t="str">
        <f t="shared" si="5"/>
        <v>x</v>
      </c>
      <c r="W12" s="130" t="str">
        <f t="shared" si="5"/>
        <v/>
      </c>
      <c r="X12" s="130" t="str">
        <f t="shared" si="5"/>
        <v>x</v>
      </c>
      <c r="Y12" s="130" t="str">
        <f t="shared" si="5"/>
        <v/>
      </c>
      <c r="Z12" s="130" t="str">
        <f t="shared" si="5"/>
        <v>x</v>
      </c>
      <c r="AA12" s="130" t="str">
        <f t="shared" si="5"/>
        <v/>
      </c>
      <c r="AB12" s="130" t="str">
        <f t="shared" si="5"/>
        <v>x</v>
      </c>
      <c r="AC12" s="130" t="str">
        <f t="shared" si="5"/>
        <v/>
      </c>
      <c r="AD12" s="130" t="str">
        <f t="shared" si="5"/>
        <v/>
      </c>
    </row>
    <row r="13" spans="1:30" x14ac:dyDescent="0.25">
      <c r="A13" s="212"/>
      <c r="B13" s="569" t="s">
        <v>1202</v>
      </c>
      <c r="C13" s="570"/>
      <c r="D13" s="597"/>
      <c r="E13" s="179"/>
      <c r="F13" s="305" t="s">
        <v>31</v>
      </c>
      <c r="G13" s="160"/>
      <c r="H13" s="287"/>
      <c r="I13" s="105" t="str">
        <f>IF(COUNTIF(I14:I14,"x")=0,"","x")</f>
        <v/>
      </c>
      <c r="J13" s="105" t="str">
        <f t="shared" ref="J13:AD13" si="6">IF(COUNTIF(J14:J14,"x")=0,"","x")</f>
        <v>x</v>
      </c>
      <c r="K13" s="105" t="str">
        <f t="shared" si="6"/>
        <v/>
      </c>
      <c r="L13" s="105" t="str">
        <f t="shared" si="6"/>
        <v>x</v>
      </c>
      <c r="M13" s="105" t="str">
        <f t="shared" si="6"/>
        <v/>
      </c>
      <c r="N13" s="105" t="str">
        <f t="shared" si="6"/>
        <v>x</v>
      </c>
      <c r="O13" s="105" t="str">
        <f t="shared" si="6"/>
        <v/>
      </c>
      <c r="P13" s="105" t="str">
        <f t="shared" si="6"/>
        <v>x</v>
      </c>
      <c r="Q13" s="105" t="str">
        <f t="shared" si="6"/>
        <v/>
      </c>
      <c r="R13" s="105" t="str">
        <f t="shared" si="6"/>
        <v>x</v>
      </c>
      <c r="S13" s="105" t="str">
        <f t="shared" si="6"/>
        <v/>
      </c>
      <c r="T13" s="105" t="str">
        <f t="shared" si="6"/>
        <v>x</v>
      </c>
      <c r="U13" s="105" t="str">
        <f t="shared" si="6"/>
        <v/>
      </c>
      <c r="V13" s="105" t="str">
        <f t="shared" si="6"/>
        <v>x</v>
      </c>
      <c r="W13" s="105" t="str">
        <f t="shared" si="6"/>
        <v/>
      </c>
      <c r="X13" s="105" t="str">
        <f t="shared" si="6"/>
        <v>x</v>
      </c>
      <c r="Y13" s="105" t="str">
        <f t="shared" si="6"/>
        <v/>
      </c>
      <c r="Z13" s="105" t="str">
        <f t="shared" si="6"/>
        <v>x</v>
      </c>
      <c r="AA13" s="105" t="str">
        <f t="shared" si="6"/>
        <v/>
      </c>
      <c r="AB13" s="105" t="str">
        <f t="shared" si="6"/>
        <v>x</v>
      </c>
      <c r="AC13" s="105" t="str">
        <f t="shared" si="6"/>
        <v/>
      </c>
      <c r="AD13" s="105" t="str">
        <f t="shared" si="6"/>
        <v/>
      </c>
    </row>
    <row r="14" spans="1:30" ht="25" x14ac:dyDescent="0.25">
      <c r="A14" s="212" t="s">
        <v>564</v>
      </c>
      <c r="B14" s="39" t="s">
        <v>52</v>
      </c>
      <c r="C14" s="373" t="s">
        <v>222</v>
      </c>
      <c r="D14" s="408" t="s">
        <v>113</v>
      </c>
      <c r="E14" s="144"/>
      <c r="F14" s="296"/>
      <c r="G14" s="161"/>
      <c r="H14" s="287" t="str">
        <f>HYPERLINK(CONCATENATE("http://garwiki.regn.net/mediawiki/index.php/Scorecard_Rule_",MID(A14,FIND(":",A14)+1,9)),"?")</f>
        <v>?</v>
      </c>
      <c r="I14" s="105"/>
      <c r="J14" s="105" t="s">
        <v>144</v>
      </c>
      <c r="K14" s="105"/>
      <c r="L14" s="105" t="s">
        <v>144</v>
      </c>
      <c r="M14" s="226"/>
      <c r="N14" s="136" t="s">
        <v>144</v>
      </c>
      <c r="O14" s="105"/>
      <c r="P14" s="105" t="s">
        <v>144</v>
      </c>
      <c r="Q14" s="105"/>
      <c r="R14" s="105" t="s">
        <v>144</v>
      </c>
      <c r="S14" s="105"/>
      <c r="T14" s="105" t="s">
        <v>144</v>
      </c>
      <c r="U14" s="105"/>
      <c r="V14" s="105" t="s">
        <v>144</v>
      </c>
      <c r="W14" s="105"/>
      <c r="X14" s="105" t="s">
        <v>144</v>
      </c>
      <c r="Y14" s="105"/>
      <c r="Z14" s="105" t="s">
        <v>144</v>
      </c>
      <c r="AA14" s="105"/>
      <c r="AB14" s="105" t="s">
        <v>144</v>
      </c>
      <c r="AC14" s="105"/>
      <c r="AD14" s="105"/>
    </row>
  </sheetData>
  <sheetProtection formatColumns="0" formatRows="0"/>
  <mergeCells count="19">
    <mergeCell ref="B13:D13"/>
    <mergeCell ref="B2:D2"/>
    <mergeCell ref="B6:D6"/>
    <mergeCell ref="B9:D9"/>
    <mergeCell ref="D8:G8"/>
    <mergeCell ref="D12:G12"/>
    <mergeCell ref="W2:X2"/>
    <mergeCell ref="AC2:AD2"/>
    <mergeCell ref="U2:V2"/>
    <mergeCell ref="D1:G1"/>
    <mergeCell ref="D5:G5"/>
    <mergeCell ref="I2:J2"/>
    <mergeCell ref="O2:P2"/>
    <mergeCell ref="Q2:R2"/>
    <mergeCell ref="S2:T2"/>
    <mergeCell ref="M2:N2"/>
    <mergeCell ref="K2:L2"/>
    <mergeCell ref="AA2:AB2"/>
    <mergeCell ref="Y2:Z2"/>
  </mergeCells>
  <phoneticPr fontId="2" type="noConversion"/>
  <conditionalFormatting sqref="E2:E14">
    <cfRule type="cellIs" dxfId="88" priority="1" stopIfTrue="1" operator="equal">
      <formula>"N/A"</formula>
    </cfRule>
    <cfRule type="cellIs" dxfId="87" priority="38" stopIfTrue="1" operator="equal">
      <formula>"Yes-N/A"</formula>
    </cfRule>
    <cfRule type="cellIs" dxfId="86" priority="39" stopIfTrue="1" operator="equal">
      <formula>"P-WVR"</formula>
    </cfRule>
    <cfRule type="cellIs" dxfId="85" priority="40" stopIfTrue="1" operator="equal">
      <formula>"No"</formula>
    </cfRule>
    <cfRule type="cellIs" dxfId="84" priority="41" stopIfTrue="1" operator="equal">
      <formula>"Yes"</formula>
    </cfRule>
    <cfRule type="cellIs" dxfId="83" priority="42" stopIfTrue="1" operator="equal">
      <formula>"WVR"</formula>
    </cfRule>
    <cfRule type="cellIs" dxfId="82" priority="43" stopIfTrue="1" operator="equal">
      <formula>"T-WVR"</formula>
    </cfRule>
    <cfRule type="cellIs" dxfId="81" priority="44" stopIfTrue="1" operator="equal">
      <formula>"R"</formula>
    </cfRule>
    <cfRule type="cellIs" dxfId="80" priority="45" stopIfTrue="1" operator="equal">
      <formula>"Y"</formula>
    </cfRule>
    <cfRule type="cellIs" dxfId="79" priority="46" stopIfTrue="1" operator="equal">
      <formula>"G"</formula>
    </cfRule>
  </conditionalFormatting>
  <dataValidations count="4">
    <dataValidation type="list" allowBlank="1" showInputMessage="1" showErrorMessage="1" sqref="E14 E7 E10:E11">
      <formula1>ValidValues</formula1>
    </dataValidation>
    <dataValidation type="list" allowBlank="1" showInputMessage="1" showErrorMessage="1" sqref="E6 E9 E13">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14">
      <formula1>1</formula1>
      <formula2>10000</formula2>
    </dataValidation>
  </dataValidations>
  <pageMargins left="0.7" right="0.7" top="0.75" bottom="0.75" header="0.3" footer="0.3"/>
  <pageSetup scale="97" fitToHeight="100" orientation="landscape" r:id="rId1"/>
  <headerFooter>
    <oddHeader>&amp;L&amp;F&amp;C&amp;A&amp;R&amp;D</oddHeader>
    <oddFooter>&amp;C&amp;P of &amp;N</oddFooter>
  </headerFooter>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autoPageBreaks="0" fitToPage="1"/>
  </sheetPr>
  <dimension ref="A1:AH28"/>
  <sheetViews>
    <sheetView zoomScaleNormal="100" workbookViewId="0">
      <pane ySplit="4" topLeftCell="A5" activePane="bottomLeft" state="frozen"/>
      <selection pane="bottomLeft" activeCell="E7" sqref="E7"/>
    </sheetView>
  </sheetViews>
  <sheetFormatPr defaultColWidth="8.81640625" defaultRowHeight="12.5" x14ac:dyDescent="0.25"/>
  <cols>
    <col min="1" max="1" width="1.81640625" customWidth="1"/>
    <col min="2" max="2" width="5.7265625" customWidth="1"/>
    <col min="3" max="3" width="9.1796875" customWidth="1"/>
    <col min="4" max="4" width="54.453125" customWidth="1"/>
    <col min="5" max="5" width="8" customWidth="1"/>
    <col min="6" max="6" width="41.54296875" customWidth="1"/>
    <col min="7" max="7" width="9.453125" customWidth="1"/>
    <col min="8" max="8" width="2" bestFit="1" customWidth="1"/>
    <col min="9" max="12" width="3.81640625" customWidth="1"/>
    <col min="13" max="13" width="3.7265625" customWidth="1"/>
    <col min="14" max="30" width="3.81640625" customWidth="1"/>
  </cols>
  <sheetData>
    <row r="1" spans="1:30" ht="18" x14ac:dyDescent="0.25">
      <c r="A1" s="212" t="s">
        <v>548</v>
      </c>
      <c r="B1" s="372" t="s">
        <v>143</v>
      </c>
      <c r="C1" s="371">
        <v>9</v>
      </c>
      <c r="D1" s="580" t="s">
        <v>1008</v>
      </c>
      <c r="E1" s="581"/>
      <c r="F1" s="581"/>
      <c r="G1" s="582"/>
      <c r="H1" s="287" t="str">
        <f>HYPERLINK(CONCATENATE("http://garwiki.regn.net/mediawiki/index.php/",SUBSTITUTE(D1," ","_"),"_(principle)"),"?")</f>
        <v>?</v>
      </c>
      <c r="I1" s="134" t="s">
        <v>414</v>
      </c>
      <c r="J1" s="134" t="s">
        <v>415</v>
      </c>
      <c r="K1" s="134" t="s">
        <v>414</v>
      </c>
      <c r="L1" s="134" t="s">
        <v>415</v>
      </c>
      <c r="M1" s="134" t="s">
        <v>414</v>
      </c>
      <c r="N1" s="134" t="s">
        <v>415</v>
      </c>
      <c r="O1" s="134" t="s">
        <v>414</v>
      </c>
      <c r="P1" s="134" t="s">
        <v>415</v>
      </c>
      <c r="Q1" s="134" t="s">
        <v>414</v>
      </c>
      <c r="R1" s="134" t="s">
        <v>415</v>
      </c>
      <c r="S1" s="134" t="s">
        <v>414</v>
      </c>
      <c r="T1" s="134" t="s">
        <v>415</v>
      </c>
      <c r="U1" s="134" t="s">
        <v>414</v>
      </c>
      <c r="V1" s="134" t="s">
        <v>415</v>
      </c>
      <c r="W1" s="134" t="s">
        <v>414</v>
      </c>
      <c r="X1" s="134" t="s">
        <v>415</v>
      </c>
      <c r="Y1" s="134" t="s">
        <v>414</v>
      </c>
      <c r="Z1" s="134" t="s">
        <v>415</v>
      </c>
      <c r="AA1" s="134" t="s">
        <v>414</v>
      </c>
      <c r="AB1" s="134" t="s">
        <v>415</v>
      </c>
      <c r="AC1" s="134" t="s">
        <v>414</v>
      </c>
      <c r="AD1" s="134" t="s">
        <v>415</v>
      </c>
    </row>
    <row r="2" spans="1:30" ht="50.25" customHeight="1" x14ac:dyDescent="0.25">
      <c r="A2" s="212"/>
      <c r="B2" s="594" t="s">
        <v>1211</v>
      </c>
      <c r="C2" s="594"/>
      <c r="D2" s="594"/>
      <c r="E2" s="179"/>
      <c r="F2" s="293" t="s">
        <v>31</v>
      </c>
      <c r="G2" s="278"/>
      <c r="H2" s="142"/>
      <c r="I2" s="579" t="s">
        <v>883</v>
      </c>
      <c r="J2" s="579"/>
      <c r="K2" s="579" t="s">
        <v>882</v>
      </c>
      <c r="L2" s="579"/>
      <c r="M2" s="579" t="s">
        <v>416</v>
      </c>
      <c r="N2" s="579"/>
      <c r="O2" s="579" t="s">
        <v>312</v>
      </c>
      <c r="P2" s="579"/>
      <c r="Q2" s="579" t="s">
        <v>313</v>
      </c>
      <c r="R2" s="579"/>
      <c r="S2" s="579" t="s">
        <v>311</v>
      </c>
      <c r="T2" s="579"/>
      <c r="U2" s="579" t="s">
        <v>314</v>
      </c>
      <c r="V2" s="579"/>
      <c r="W2" s="583" t="s">
        <v>565</v>
      </c>
      <c r="X2" s="584"/>
      <c r="Y2" s="583" t="s">
        <v>887</v>
      </c>
      <c r="Z2" s="584"/>
      <c r="AA2" s="583" t="s">
        <v>888</v>
      </c>
      <c r="AB2" s="584"/>
      <c r="AC2" s="583" t="s">
        <v>889</v>
      </c>
      <c r="AD2" s="584"/>
    </row>
    <row r="3" spans="1:30" x14ac:dyDescent="0.25">
      <c r="A3" s="212"/>
      <c r="B3" s="78"/>
      <c r="C3" s="228"/>
      <c r="D3" s="79"/>
      <c r="E3" s="229"/>
      <c r="F3" s="157"/>
      <c r="G3" s="185"/>
      <c r="H3" s="142"/>
      <c r="I3" s="110"/>
      <c r="J3" s="110"/>
      <c r="K3" s="110"/>
      <c r="L3" s="110"/>
      <c r="M3" s="110"/>
      <c r="N3" s="110"/>
      <c r="O3" s="110"/>
      <c r="P3" s="110"/>
      <c r="Q3" s="110"/>
      <c r="R3" s="110"/>
      <c r="S3" s="110"/>
      <c r="T3" s="110"/>
      <c r="U3" s="110"/>
      <c r="V3" s="110"/>
      <c r="W3" s="110"/>
      <c r="X3" s="110"/>
      <c r="Y3" s="110"/>
      <c r="Z3" s="110"/>
      <c r="AA3" s="110"/>
      <c r="AB3" s="110"/>
      <c r="AC3" s="110"/>
      <c r="AD3" s="110"/>
    </row>
    <row r="4" spans="1:30" ht="26" x14ac:dyDescent="0.25">
      <c r="A4" s="212"/>
      <c r="B4" s="63" t="s">
        <v>50</v>
      </c>
      <c r="C4" s="65" t="s">
        <v>51</v>
      </c>
      <c r="D4" s="65" t="s">
        <v>35</v>
      </c>
      <c r="E4" s="267" t="s">
        <v>24</v>
      </c>
      <c r="F4" s="268" t="s">
        <v>36</v>
      </c>
      <c r="G4" s="269" t="s">
        <v>656</v>
      </c>
      <c r="H4" s="142"/>
      <c r="I4" s="111" t="s">
        <v>144</v>
      </c>
      <c r="J4" s="111" t="s">
        <v>144</v>
      </c>
      <c r="K4" s="111" t="s">
        <v>144</v>
      </c>
      <c r="L4" s="111" t="s">
        <v>144</v>
      </c>
      <c r="M4" s="111" t="s">
        <v>144</v>
      </c>
      <c r="N4" s="111" t="s">
        <v>144</v>
      </c>
      <c r="O4" s="111" t="s">
        <v>144</v>
      </c>
      <c r="P4" s="111" t="s">
        <v>144</v>
      </c>
      <c r="Q4" s="111" t="s">
        <v>144</v>
      </c>
      <c r="R4" s="111" t="s">
        <v>144</v>
      </c>
      <c r="S4" s="111" t="s">
        <v>144</v>
      </c>
      <c r="T4" s="111" t="s">
        <v>144</v>
      </c>
      <c r="U4" s="111" t="s">
        <v>144</v>
      </c>
      <c r="V4" s="111" t="s">
        <v>144</v>
      </c>
      <c r="W4" s="111" t="s">
        <v>144</v>
      </c>
      <c r="X4" s="111" t="s">
        <v>144</v>
      </c>
      <c r="Y4" s="111" t="s">
        <v>144</v>
      </c>
      <c r="Z4" s="111" t="s">
        <v>144</v>
      </c>
      <c r="AA4" s="111" t="s">
        <v>144</v>
      </c>
      <c r="AB4" s="111" t="s">
        <v>144</v>
      </c>
      <c r="AC4" s="111" t="s">
        <v>144</v>
      </c>
      <c r="AD4" s="111" t="s">
        <v>144</v>
      </c>
    </row>
    <row r="5" spans="1:30" ht="13" x14ac:dyDescent="0.25">
      <c r="A5" s="212" t="s">
        <v>1085</v>
      </c>
      <c r="B5" s="129" t="s">
        <v>143</v>
      </c>
      <c r="C5" s="131" t="s">
        <v>329</v>
      </c>
      <c r="D5" s="574" t="s">
        <v>1160</v>
      </c>
      <c r="E5" s="575"/>
      <c r="F5" s="575"/>
      <c r="G5" s="576"/>
      <c r="H5" s="287" t="str">
        <f>HYPERLINK(CONCATENATE("http://garwiki.regn.net/mediawiki/index.php/",SUBSTITUTE(D5," ","_"),"_(golden_rule)"),"?")</f>
        <v>?</v>
      </c>
      <c r="I5" s="130" t="str">
        <f>I6</f>
        <v/>
      </c>
      <c r="J5" s="130" t="str">
        <f t="shared" ref="J5:AD5" si="0">J6</f>
        <v/>
      </c>
      <c r="K5" s="130" t="str">
        <f>K6</f>
        <v/>
      </c>
      <c r="L5" s="130" t="str">
        <f t="shared" si="0"/>
        <v/>
      </c>
      <c r="M5" s="130" t="str">
        <f t="shared" si="0"/>
        <v/>
      </c>
      <c r="N5" s="130" t="str">
        <f t="shared" si="0"/>
        <v/>
      </c>
      <c r="O5" s="130" t="str">
        <f t="shared" si="0"/>
        <v>x</v>
      </c>
      <c r="P5" s="130" t="str">
        <f t="shared" si="0"/>
        <v>x</v>
      </c>
      <c r="Q5" s="130" t="str">
        <f t="shared" si="0"/>
        <v>x</v>
      </c>
      <c r="R5" s="130" t="str">
        <f t="shared" si="0"/>
        <v>x</v>
      </c>
      <c r="S5" s="130" t="str">
        <f t="shared" si="0"/>
        <v>x</v>
      </c>
      <c r="T5" s="130" t="str">
        <f t="shared" si="0"/>
        <v>x</v>
      </c>
      <c r="U5" s="130" t="str">
        <f t="shared" si="0"/>
        <v>x</v>
      </c>
      <c r="V5" s="130" t="str">
        <f t="shared" si="0"/>
        <v>x</v>
      </c>
      <c r="W5" s="130" t="str">
        <f t="shared" si="0"/>
        <v>x</v>
      </c>
      <c r="X5" s="130" t="str">
        <f t="shared" si="0"/>
        <v>x</v>
      </c>
      <c r="Y5" s="130" t="str">
        <f t="shared" si="0"/>
        <v/>
      </c>
      <c r="Z5" s="130" t="str">
        <f t="shared" si="0"/>
        <v/>
      </c>
      <c r="AA5" s="130" t="str">
        <f t="shared" si="0"/>
        <v/>
      </c>
      <c r="AB5" s="130" t="str">
        <f t="shared" si="0"/>
        <v/>
      </c>
      <c r="AC5" s="130" t="str">
        <f t="shared" si="0"/>
        <v/>
      </c>
      <c r="AD5" s="130" t="str">
        <f t="shared" si="0"/>
        <v/>
      </c>
    </row>
    <row r="6" spans="1:30" x14ac:dyDescent="0.25">
      <c r="A6" s="212"/>
      <c r="B6" s="594" t="s">
        <v>1160</v>
      </c>
      <c r="C6" s="604"/>
      <c r="D6" s="594"/>
      <c r="E6" s="179"/>
      <c r="F6" s="147" t="s">
        <v>31</v>
      </c>
      <c r="G6" s="278"/>
      <c r="H6" s="142"/>
      <c r="I6" s="105" t="str">
        <f>IF(COUNTIF(I7:I8,"x")=0,"","x")</f>
        <v/>
      </c>
      <c r="J6" s="105" t="str">
        <f t="shared" ref="J6:AD6" si="1">IF(COUNTIF(J7:J8,"x")=0,"","x")</f>
        <v/>
      </c>
      <c r="K6" s="105" t="str">
        <f t="shared" si="1"/>
        <v/>
      </c>
      <c r="L6" s="105" t="str">
        <f t="shared" si="1"/>
        <v/>
      </c>
      <c r="M6" s="105" t="str">
        <f t="shared" si="1"/>
        <v/>
      </c>
      <c r="N6" s="105" t="str">
        <f t="shared" si="1"/>
        <v/>
      </c>
      <c r="O6" s="105" t="str">
        <f t="shared" si="1"/>
        <v>x</v>
      </c>
      <c r="P6" s="105" t="str">
        <f t="shared" si="1"/>
        <v>x</v>
      </c>
      <c r="Q6" s="105" t="str">
        <f t="shared" si="1"/>
        <v>x</v>
      </c>
      <c r="R6" s="105" t="str">
        <f t="shared" si="1"/>
        <v>x</v>
      </c>
      <c r="S6" s="105" t="str">
        <f t="shared" si="1"/>
        <v>x</v>
      </c>
      <c r="T6" s="105" t="str">
        <f t="shared" si="1"/>
        <v>x</v>
      </c>
      <c r="U6" s="105" t="str">
        <f t="shared" si="1"/>
        <v>x</v>
      </c>
      <c r="V6" s="105" t="str">
        <f t="shared" si="1"/>
        <v>x</v>
      </c>
      <c r="W6" s="105" t="str">
        <f t="shared" si="1"/>
        <v>x</v>
      </c>
      <c r="X6" s="105" t="str">
        <f t="shared" si="1"/>
        <v>x</v>
      </c>
      <c r="Y6" s="105" t="str">
        <f t="shared" si="1"/>
        <v/>
      </c>
      <c r="Z6" s="105" t="str">
        <f t="shared" si="1"/>
        <v/>
      </c>
      <c r="AA6" s="105" t="str">
        <f t="shared" si="1"/>
        <v/>
      </c>
      <c r="AB6" s="105" t="str">
        <f t="shared" si="1"/>
        <v/>
      </c>
      <c r="AC6" s="105" t="str">
        <f t="shared" si="1"/>
        <v/>
      </c>
      <c r="AD6" s="105" t="str">
        <f t="shared" si="1"/>
        <v/>
      </c>
    </row>
    <row r="7" spans="1:30" ht="25" x14ac:dyDescent="0.25">
      <c r="A7" s="212" t="s">
        <v>705</v>
      </c>
      <c r="B7" s="64" t="s">
        <v>52</v>
      </c>
      <c r="C7" s="373" t="s">
        <v>11</v>
      </c>
      <c r="D7" s="61" t="s">
        <v>1009</v>
      </c>
      <c r="E7" s="143"/>
      <c r="F7" s="294"/>
      <c r="G7" s="146"/>
      <c r="H7" s="287" t="str">
        <f>HYPERLINK(CONCATENATE("http://garwiki.regn.net/mediawiki/index.php/Scorecard_Rule_",MID(A7,FIND(":",A7)+1,9)),"?")</f>
        <v>?</v>
      </c>
      <c r="I7" s="105"/>
      <c r="J7" s="105"/>
      <c r="K7" s="105"/>
      <c r="L7" s="105"/>
      <c r="M7" s="105"/>
      <c r="N7" s="105"/>
      <c r="O7" s="105" t="s">
        <v>144</v>
      </c>
      <c r="P7" s="105" t="s">
        <v>144</v>
      </c>
      <c r="Q7" s="105" t="s">
        <v>144</v>
      </c>
      <c r="R7" s="105" t="s">
        <v>144</v>
      </c>
      <c r="S7" s="105"/>
      <c r="T7" s="105"/>
      <c r="U7" s="105" t="s">
        <v>144</v>
      </c>
      <c r="V7" s="105" t="s">
        <v>144</v>
      </c>
      <c r="W7" s="105"/>
      <c r="X7" s="105"/>
      <c r="Y7" s="105"/>
      <c r="Z7" s="105"/>
      <c r="AA7" s="105"/>
      <c r="AB7" s="105"/>
      <c r="AC7" s="105"/>
      <c r="AD7" s="105"/>
    </row>
    <row r="8" spans="1:30" ht="25" x14ac:dyDescent="0.25">
      <c r="A8" s="212" t="s">
        <v>1101</v>
      </c>
      <c r="B8" s="64" t="s">
        <v>52</v>
      </c>
      <c r="C8" s="373" t="s">
        <v>12</v>
      </c>
      <c r="D8" s="38" t="s">
        <v>1010</v>
      </c>
      <c r="E8" s="143"/>
      <c r="F8" s="295"/>
      <c r="G8" s="146"/>
      <c r="H8" s="287" t="str">
        <f t="shared" ref="H8" si="2">HYPERLINK(CONCATENATE("http://garwiki.regn.net/mediawiki/index.php/Scorecard_Rule_",MID(A8,FIND(":",A8)+1,9)),"?")</f>
        <v>?</v>
      </c>
      <c r="I8" s="105"/>
      <c r="J8" s="105"/>
      <c r="K8" s="105"/>
      <c r="L8" s="105"/>
      <c r="M8" s="105"/>
      <c r="N8" s="105"/>
      <c r="O8" s="105" t="s">
        <v>144</v>
      </c>
      <c r="P8" s="105" t="s">
        <v>144</v>
      </c>
      <c r="Q8" s="105" t="s">
        <v>144</v>
      </c>
      <c r="R8" s="105" t="s">
        <v>144</v>
      </c>
      <c r="S8" s="105" t="s">
        <v>144</v>
      </c>
      <c r="T8" s="105" t="s">
        <v>144</v>
      </c>
      <c r="U8" s="105" t="s">
        <v>144</v>
      </c>
      <c r="V8" s="105" t="s">
        <v>144</v>
      </c>
      <c r="W8" s="105" t="s">
        <v>144</v>
      </c>
      <c r="X8" s="105" t="s">
        <v>144</v>
      </c>
      <c r="Y8" s="105"/>
      <c r="Z8" s="105"/>
      <c r="AA8" s="105"/>
      <c r="AB8" s="105"/>
      <c r="AC8" s="105"/>
      <c r="AD8" s="105"/>
    </row>
    <row r="9" spans="1:30" ht="13" x14ac:dyDescent="0.25">
      <c r="A9" s="212" t="s">
        <v>1086</v>
      </c>
      <c r="B9" s="129" t="s">
        <v>143</v>
      </c>
      <c r="C9" s="131" t="s">
        <v>332</v>
      </c>
      <c r="D9" s="574" t="s">
        <v>1161</v>
      </c>
      <c r="E9" s="575"/>
      <c r="F9" s="575"/>
      <c r="G9" s="576"/>
      <c r="H9" s="287" t="str">
        <f>HYPERLINK(CONCATENATE("http://garwiki.regn.net/mediawiki/index.php/",SUBSTITUTE(D9," ","_"),"_(golden_rule)"),"?")</f>
        <v>?</v>
      </c>
      <c r="I9" s="130" t="str">
        <f>I10</f>
        <v>x</v>
      </c>
      <c r="J9" s="130" t="str">
        <f t="shared" ref="J9:AD9" si="3">J10</f>
        <v>x</v>
      </c>
      <c r="K9" s="130" t="str">
        <f>K10</f>
        <v>x</v>
      </c>
      <c r="L9" s="130" t="str">
        <f t="shared" si="3"/>
        <v>x</v>
      </c>
      <c r="M9" s="130" t="str">
        <f t="shared" si="3"/>
        <v>x</v>
      </c>
      <c r="N9" s="130" t="str">
        <f t="shared" si="3"/>
        <v>x</v>
      </c>
      <c r="O9" s="130" t="str">
        <f t="shared" si="3"/>
        <v>x</v>
      </c>
      <c r="P9" s="130" t="str">
        <f t="shared" si="3"/>
        <v>x</v>
      </c>
      <c r="Q9" s="130" t="str">
        <f t="shared" si="3"/>
        <v>x</v>
      </c>
      <c r="R9" s="130" t="str">
        <f t="shared" si="3"/>
        <v>x</v>
      </c>
      <c r="S9" s="130" t="str">
        <f t="shared" si="3"/>
        <v>x</v>
      </c>
      <c r="T9" s="130" t="str">
        <f t="shared" si="3"/>
        <v>x</v>
      </c>
      <c r="U9" s="130" t="str">
        <f t="shared" si="3"/>
        <v>x</v>
      </c>
      <c r="V9" s="130" t="str">
        <f t="shared" si="3"/>
        <v>x</v>
      </c>
      <c r="W9" s="130" t="str">
        <f t="shared" si="3"/>
        <v>x</v>
      </c>
      <c r="X9" s="130" t="str">
        <f t="shared" si="3"/>
        <v>x</v>
      </c>
      <c r="Y9" s="130" t="str">
        <f t="shared" si="3"/>
        <v/>
      </c>
      <c r="Z9" s="130" t="str">
        <f t="shared" si="3"/>
        <v/>
      </c>
      <c r="AA9" s="130" t="str">
        <f t="shared" si="3"/>
        <v/>
      </c>
      <c r="AB9" s="130" t="str">
        <f t="shared" si="3"/>
        <v/>
      </c>
      <c r="AC9" s="130" t="str">
        <f t="shared" si="3"/>
        <v/>
      </c>
      <c r="AD9" s="130" t="str">
        <f t="shared" si="3"/>
        <v/>
      </c>
    </row>
    <row r="10" spans="1:30" x14ac:dyDescent="0.25">
      <c r="A10" s="212"/>
      <c r="B10" s="594" t="s">
        <v>1161</v>
      </c>
      <c r="C10" s="604"/>
      <c r="D10" s="594"/>
      <c r="E10" s="179"/>
      <c r="F10" s="147" t="s">
        <v>31</v>
      </c>
      <c r="G10" s="278"/>
      <c r="H10" s="142"/>
      <c r="I10" s="105" t="str">
        <f t="shared" ref="I10:AD10" si="4">IF(COUNTIF(I11:I15,"x")=0,"","x")</f>
        <v>x</v>
      </c>
      <c r="J10" s="105" t="str">
        <f t="shared" si="4"/>
        <v>x</v>
      </c>
      <c r="K10" s="105" t="str">
        <f t="shared" si="4"/>
        <v>x</v>
      </c>
      <c r="L10" s="105" t="str">
        <f t="shared" si="4"/>
        <v>x</v>
      </c>
      <c r="M10" s="105" t="str">
        <f t="shared" si="4"/>
        <v>x</v>
      </c>
      <c r="N10" s="105" t="str">
        <f t="shared" si="4"/>
        <v>x</v>
      </c>
      <c r="O10" s="105" t="str">
        <f t="shared" si="4"/>
        <v>x</v>
      </c>
      <c r="P10" s="105" t="str">
        <f t="shared" si="4"/>
        <v>x</v>
      </c>
      <c r="Q10" s="105" t="str">
        <f t="shared" si="4"/>
        <v>x</v>
      </c>
      <c r="R10" s="105" t="str">
        <f t="shared" si="4"/>
        <v>x</v>
      </c>
      <c r="S10" s="105" t="str">
        <f t="shared" si="4"/>
        <v>x</v>
      </c>
      <c r="T10" s="105" t="str">
        <f t="shared" si="4"/>
        <v>x</v>
      </c>
      <c r="U10" s="105" t="str">
        <f t="shared" si="4"/>
        <v>x</v>
      </c>
      <c r="V10" s="105" t="str">
        <f t="shared" si="4"/>
        <v>x</v>
      </c>
      <c r="W10" s="105" t="str">
        <f t="shared" si="4"/>
        <v>x</v>
      </c>
      <c r="X10" s="105" t="str">
        <f t="shared" si="4"/>
        <v>x</v>
      </c>
      <c r="Y10" s="105" t="str">
        <f t="shared" si="4"/>
        <v/>
      </c>
      <c r="Z10" s="105" t="str">
        <f t="shared" si="4"/>
        <v/>
      </c>
      <c r="AA10" s="105" t="str">
        <f t="shared" si="4"/>
        <v/>
      </c>
      <c r="AB10" s="105" t="str">
        <f t="shared" si="4"/>
        <v/>
      </c>
      <c r="AC10" s="105" t="str">
        <f t="shared" si="4"/>
        <v/>
      </c>
      <c r="AD10" s="105" t="str">
        <f t="shared" si="4"/>
        <v/>
      </c>
    </row>
    <row r="11" spans="1:30" x14ac:dyDescent="0.25">
      <c r="A11" s="212" t="s">
        <v>708</v>
      </c>
      <c r="B11" s="64" t="s">
        <v>52</v>
      </c>
      <c r="C11" s="373" t="s">
        <v>13</v>
      </c>
      <c r="D11" s="38" t="s">
        <v>1012</v>
      </c>
      <c r="E11" s="143"/>
      <c r="F11" s="294"/>
      <c r="G11" s="146"/>
      <c r="H11" s="287" t="str">
        <f>HYPERLINK(CONCATENATE("http://garwiki.regn.net/mediawiki/index.php/Scorecard_Rule_",MID(A11,FIND(":",A11)+1,9)),"?")</f>
        <v>?</v>
      </c>
      <c r="I11" s="105" t="s">
        <v>144</v>
      </c>
      <c r="J11" s="105" t="s">
        <v>144</v>
      </c>
      <c r="K11" s="105" t="s">
        <v>144</v>
      </c>
      <c r="L11" s="105" t="s">
        <v>144</v>
      </c>
      <c r="M11" s="105" t="s">
        <v>144</v>
      </c>
      <c r="N11" s="105" t="s">
        <v>144</v>
      </c>
      <c r="O11" s="105" t="s">
        <v>144</v>
      </c>
      <c r="P11" s="105" t="s">
        <v>144</v>
      </c>
      <c r="Q11" s="105" t="s">
        <v>144</v>
      </c>
      <c r="R11" s="105" t="s">
        <v>144</v>
      </c>
      <c r="S11" s="105" t="s">
        <v>144</v>
      </c>
      <c r="T11" s="105" t="s">
        <v>144</v>
      </c>
      <c r="U11" s="105" t="s">
        <v>144</v>
      </c>
      <c r="V11" s="105" t="s">
        <v>144</v>
      </c>
      <c r="W11" s="105" t="s">
        <v>144</v>
      </c>
      <c r="X11" s="105" t="s">
        <v>144</v>
      </c>
      <c r="Y11" s="105"/>
      <c r="Z11" s="105"/>
      <c r="AA11" s="105"/>
      <c r="AB11" s="105"/>
      <c r="AC11" s="105"/>
      <c r="AD11" s="105"/>
    </row>
    <row r="12" spans="1:30" x14ac:dyDescent="0.25">
      <c r="A12" s="212" t="s">
        <v>706</v>
      </c>
      <c r="B12" s="64" t="s">
        <v>52</v>
      </c>
      <c r="C12" s="373" t="s">
        <v>1288</v>
      </c>
      <c r="D12" s="38" t="s">
        <v>1013</v>
      </c>
      <c r="E12" s="143"/>
      <c r="F12" s="295"/>
      <c r="G12" s="146"/>
      <c r="H12" s="287" t="str">
        <f t="shared" ref="H12:H15" si="5">HYPERLINK(CONCATENATE("http://garwiki.regn.net/mediawiki/index.php/Scorecard_Rule_",MID(A12,FIND(":",A12)+1,9)),"?")</f>
        <v>?</v>
      </c>
      <c r="I12" s="105"/>
      <c r="J12" s="105"/>
      <c r="K12" s="105"/>
      <c r="L12" s="105"/>
      <c r="M12" s="105"/>
      <c r="N12" s="105"/>
      <c r="O12" s="105" t="s">
        <v>144</v>
      </c>
      <c r="P12" s="105" t="s">
        <v>144</v>
      </c>
      <c r="Q12" s="105" t="s">
        <v>144</v>
      </c>
      <c r="R12" s="105" t="s">
        <v>144</v>
      </c>
      <c r="S12" s="105" t="s">
        <v>144</v>
      </c>
      <c r="T12" s="105" t="s">
        <v>144</v>
      </c>
      <c r="U12" s="105" t="s">
        <v>144</v>
      </c>
      <c r="V12" s="105" t="s">
        <v>144</v>
      </c>
      <c r="W12" s="105" t="s">
        <v>144</v>
      </c>
      <c r="X12" s="105" t="s">
        <v>144</v>
      </c>
      <c r="Y12" s="105"/>
      <c r="Z12" s="105"/>
      <c r="AA12" s="105"/>
      <c r="AB12" s="105"/>
      <c r="AC12" s="105"/>
      <c r="AD12" s="105"/>
    </row>
    <row r="13" spans="1:30" ht="25" x14ac:dyDescent="0.25">
      <c r="A13" s="212" t="s">
        <v>710</v>
      </c>
      <c r="B13" s="64" t="s">
        <v>52</v>
      </c>
      <c r="C13" s="373" t="s">
        <v>1289</v>
      </c>
      <c r="D13" s="355" t="s">
        <v>1014</v>
      </c>
      <c r="E13" s="143"/>
      <c r="F13" s="294"/>
      <c r="G13" s="146"/>
      <c r="H13" s="287" t="str">
        <f>HYPERLINK(CONCATENATE("http://garwiki.regn.net/mediawiki/index.php/Scorecard_Rule_",MID(A13,FIND(":",A13)+1,9)),"?")</f>
        <v>?</v>
      </c>
      <c r="I13" s="105"/>
      <c r="J13" s="106"/>
      <c r="K13" s="105"/>
      <c r="L13" s="106"/>
      <c r="M13" s="106"/>
      <c r="N13" s="106"/>
      <c r="O13" s="105" t="s">
        <v>144</v>
      </c>
      <c r="P13" s="105" t="s">
        <v>144</v>
      </c>
      <c r="Q13" s="105" t="s">
        <v>144</v>
      </c>
      <c r="R13" s="105" t="s">
        <v>144</v>
      </c>
      <c r="S13" s="105" t="s">
        <v>144</v>
      </c>
      <c r="T13" s="105" t="s">
        <v>144</v>
      </c>
      <c r="U13" s="105"/>
      <c r="V13" s="105"/>
      <c r="W13" s="105" t="s">
        <v>144</v>
      </c>
      <c r="X13" s="105" t="s">
        <v>144</v>
      </c>
      <c r="Y13" s="105"/>
      <c r="Z13" s="105"/>
      <c r="AA13" s="105"/>
      <c r="AB13" s="105"/>
      <c r="AC13" s="105"/>
      <c r="AD13" s="105"/>
    </row>
    <row r="14" spans="1:30" ht="25" x14ac:dyDescent="0.25">
      <c r="A14" s="212" t="s">
        <v>707</v>
      </c>
      <c r="B14" s="64" t="s">
        <v>52</v>
      </c>
      <c r="C14" s="373" t="s">
        <v>1290</v>
      </c>
      <c r="D14" s="38" t="s">
        <v>1015</v>
      </c>
      <c r="E14" s="143"/>
      <c r="F14" s="294"/>
      <c r="G14" s="146"/>
      <c r="H14" s="287" t="str">
        <f t="shared" si="5"/>
        <v>?</v>
      </c>
      <c r="I14" s="105" t="s">
        <v>144</v>
      </c>
      <c r="J14" s="105" t="s">
        <v>144</v>
      </c>
      <c r="K14" s="105" t="s">
        <v>144</v>
      </c>
      <c r="L14" s="105" t="s">
        <v>144</v>
      </c>
      <c r="M14" s="105" t="s">
        <v>144</v>
      </c>
      <c r="N14" s="105" t="s">
        <v>144</v>
      </c>
      <c r="O14" s="105" t="s">
        <v>144</v>
      </c>
      <c r="P14" s="105" t="s">
        <v>144</v>
      </c>
      <c r="Q14" s="105" t="s">
        <v>144</v>
      </c>
      <c r="R14" s="105" t="s">
        <v>144</v>
      </c>
      <c r="S14" s="105" t="s">
        <v>144</v>
      </c>
      <c r="T14" s="105" t="s">
        <v>144</v>
      </c>
      <c r="U14" s="105" t="s">
        <v>144</v>
      </c>
      <c r="V14" s="105" t="s">
        <v>144</v>
      </c>
      <c r="W14" s="105" t="s">
        <v>144</v>
      </c>
      <c r="X14" s="105" t="s">
        <v>144</v>
      </c>
      <c r="Y14" s="105"/>
      <c r="Z14" s="105"/>
      <c r="AA14" s="105"/>
      <c r="AB14" s="105"/>
      <c r="AC14" s="105"/>
      <c r="AD14" s="105"/>
    </row>
    <row r="15" spans="1:30" ht="37.5" x14ac:dyDescent="0.25">
      <c r="A15" s="212" t="s">
        <v>709</v>
      </c>
      <c r="B15" s="64" t="s">
        <v>52</v>
      </c>
      <c r="C15" s="373" t="s">
        <v>1291</v>
      </c>
      <c r="D15" s="354" t="s">
        <v>1016</v>
      </c>
      <c r="E15" s="143"/>
      <c r="F15" s="294"/>
      <c r="G15" s="146"/>
      <c r="H15" s="287" t="str">
        <f t="shared" si="5"/>
        <v>?</v>
      </c>
      <c r="I15" s="105" t="s">
        <v>144</v>
      </c>
      <c r="J15" s="105" t="s">
        <v>144</v>
      </c>
      <c r="K15" s="105" t="s">
        <v>144</v>
      </c>
      <c r="L15" s="105" t="s">
        <v>144</v>
      </c>
      <c r="M15" s="105" t="s">
        <v>144</v>
      </c>
      <c r="N15" s="105" t="s">
        <v>144</v>
      </c>
      <c r="O15" s="105" t="s">
        <v>144</v>
      </c>
      <c r="P15" s="105" t="s">
        <v>144</v>
      </c>
      <c r="Q15" s="105" t="s">
        <v>144</v>
      </c>
      <c r="R15" s="105" t="s">
        <v>144</v>
      </c>
      <c r="S15" s="105" t="s">
        <v>144</v>
      </c>
      <c r="T15" s="105" t="s">
        <v>144</v>
      </c>
      <c r="U15" s="105" t="s">
        <v>144</v>
      </c>
      <c r="V15" s="105" t="s">
        <v>144</v>
      </c>
      <c r="W15" s="105" t="s">
        <v>144</v>
      </c>
      <c r="X15" s="105" t="s">
        <v>144</v>
      </c>
      <c r="Y15" s="105"/>
      <c r="Z15" s="105"/>
      <c r="AA15" s="105"/>
      <c r="AB15" s="105"/>
      <c r="AC15" s="105"/>
      <c r="AD15" s="105"/>
    </row>
    <row r="16" spans="1:30" ht="13" x14ac:dyDescent="0.25">
      <c r="A16" s="212" t="s">
        <v>1087</v>
      </c>
      <c r="B16" s="129" t="s">
        <v>143</v>
      </c>
      <c r="C16" s="131" t="s">
        <v>333</v>
      </c>
      <c r="D16" s="574" t="s">
        <v>1162</v>
      </c>
      <c r="E16" s="575"/>
      <c r="F16" s="575"/>
      <c r="G16" s="576"/>
      <c r="H16" s="287" t="str">
        <f>HYPERLINK(CONCATENATE("http://garwiki.regn.net/mediawiki/index.php/",SUBSTITUTE(D16," ","_"),"_(golden_rule)"),"?")</f>
        <v>?</v>
      </c>
      <c r="I16" s="130" t="str">
        <f>I17</f>
        <v/>
      </c>
      <c r="J16" s="130" t="str">
        <f t="shared" ref="J16:AD20" si="6">J17</f>
        <v/>
      </c>
      <c r="K16" s="130" t="str">
        <f>K17</f>
        <v/>
      </c>
      <c r="L16" s="130" t="str">
        <f t="shared" si="6"/>
        <v/>
      </c>
      <c r="M16" s="130" t="str">
        <f t="shared" si="6"/>
        <v/>
      </c>
      <c r="N16" s="130" t="str">
        <f t="shared" si="6"/>
        <v/>
      </c>
      <c r="O16" s="130" t="str">
        <f t="shared" si="6"/>
        <v>x</v>
      </c>
      <c r="P16" s="130" t="str">
        <f t="shared" si="6"/>
        <v>x</v>
      </c>
      <c r="Q16" s="130" t="str">
        <f t="shared" si="6"/>
        <v>x</v>
      </c>
      <c r="R16" s="130" t="str">
        <f t="shared" si="6"/>
        <v>x</v>
      </c>
      <c r="S16" s="130" t="str">
        <f t="shared" si="6"/>
        <v>x</v>
      </c>
      <c r="T16" s="130" t="str">
        <f t="shared" si="6"/>
        <v>x</v>
      </c>
      <c r="U16" s="130" t="str">
        <f t="shared" si="6"/>
        <v>x</v>
      </c>
      <c r="V16" s="130" t="str">
        <f t="shared" si="6"/>
        <v>x</v>
      </c>
      <c r="W16" s="130" t="str">
        <f t="shared" si="6"/>
        <v>x</v>
      </c>
      <c r="X16" s="130" t="str">
        <f t="shared" si="6"/>
        <v>x</v>
      </c>
      <c r="Y16" s="130" t="str">
        <f t="shared" si="6"/>
        <v/>
      </c>
      <c r="Z16" s="130" t="str">
        <f t="shared" si="6"/>
        <v/>
      </c>
      <c r="AA16" s="130" t="str">
        <f t="shared" si="6"/>
        <v/>
      </c>
      <c r="AB16" s="130" t="str">
        <f t="shared" si="6"/>
        <v/>
      </c>
      <c r="AC16" s="130" t="str">
        <f t="shared" si="6"/>
        <v/>
      </c>
      <c r="AD16" s="130" t="str">
        <f t="shared" si="6"/>
        <v/>
      </c>
    </row>
    <row r="17" spans="1:34" x14ac:dyDescent="0.25">
      <c r="A17" s="212"/>
      <c r="B17" s="594" t="s">
        <v>1162</v>
      </c>
      <c r="C17" s="604"/>
      <c r="D17" s="594"/>
      <c r="E17" s="179"/>
      <c r="F17" s="147" t="s">
        <v>31</v>
      </c>
      <c r="G17" s="145"/>
      <c r="H17" s="142"/>
      <c r="I17" s="105" t="str">
        <f>IF(COUNTIF(I18:I19,"x")=0,"","x")</f>
        <v/>
      </c>
      <c r="J17" s="105" t="str">
        <f t="shared" ref="J17:AD17" si="7">IF(COUNTIF(J18:J19,"x")=0,"","x")</f>
        <v/>
      </c>
      <c r="K17" s="105" t="str">
        <f t="shared" si="7"/>
        <v/>
      </c>
      <c r="L17" s="105" t="str">
        <f t="shared" si="7"/>
        <v/>
      </c>
      <c r="M17" s="105" t="str">
        <f t="shared" si="7"/>
        <v/>
      </c>
      <c r="N17" s="105" t="str">
        <f t="shared" si="7"/>
        <v/>
      </c>
      <c r="O17" s="105" t="str">
        <f t="shared" si="7"/>
        <v>x</v>
      </c>
      <c r="P17" s="105" t="str">
        <f t="shared" si="7"/>
        <v>x</v>
      </c>
      <c r="Q17" s="105" t="str">
        <f t="shared" si="7"/>
        <v>x</v>
      </c>
      <c r="R17" s="105" t="str">
        <f t="shared" si="7"/>
        <v>x</v>
      </c>
      <c r="S17" s="105" t="str">
        <f t="shared" si="7"/>
        <v>x</v>
      </c>
      <c r="T17" s="105" t="str">
        <f t="shared" si="7"/>
        <v>x</v>
      </c>
      <c r="U17" s="105" t="str">
        <f t="shared" si="7"/>
        <v>x</v>
      </c>
      <c r="V17" s="105" t="str">
        <f t="shared" si="7"/>
        <v>x</v>
      </c>
      <c r="W17" s="105" t="str">
        <f t="shared" si="7"/>
        <v>x</v>
      </c>
      <c r="X17" s="105" t="str">
        <f t="shared" si="7"/>
        <v>x</v>
      </c>
      <c r="Y17" s="105" t="str">
        <f t="shared" si="7"/>
        <v/>
      </c>
      <c r="Z17" s="105" t="str">
        <f t="shared" si="7"/>
        <v/>
      </c>
      <c r="AA17" s="105" t="str">
        <f t="shared" si="7"/>
        <v/>
      </c>
      <c r="AB17" s="105" t="str">
        <f t="shared" si="7"/>
        <v/>
      </c>
      <c r="AC17" s="105" t="str">
        <f t="shared" si="7"/>
        <v/>
      </c>
      <c r="AD17" s="105" t="str">
        <f t="shared" si="7"/>
        <v/>
      </c>
    </row>
    <row r="18" spans="1:34" x14ac:dyDescent="0.25">
      <c r="A18" s="212" t="s">
        <v>458</v>
      </c>
      <c r="B18" s="64" t="s">
        <v>52</v>
      </c>
      <c r="C18" s="373" t="s">
        <v>1292</v>
      </c>
      <c r="D18" s="354" t="s">
        <v>1020</v>
      </c>
      <c r="E18" s="143"/>
      <c r="F18" s="294"/>
      <c r="G18" s="146"/>
      <c r="H18" s="287" t="str">
        <f>HYPERLINK(CONCATENATE("http://garwiki.regn.net/mediawiki/index.php/Scorecard_Rule_",MID(A18,FIND(":",A18)+1,9)),"?")</f>
        <v>?</v>
      </c>
      <c r="I18" s="105"/>
      <c r="J18" s="105"/>
      <c r="K18" s="105"/>
      <c r="L18" s="105"/>
      <c r="M18" s="105"/>
      <c r="N18" s="105"/>
      <c r="O18" s="105" t="s">
        <v>144</v>
      </c>
      <c r="P18" s="105" t="s">
        <v>144</v>
      </c>
      <c r="Q18" s="105" t="s">
        <v>144</v>
      </c>
      <c r="R18" s="105" t="s">
        <v>144</v>
      </c>
      <c r="S18" s="105" t="s">
        <v>144</v>
      </c>
      <c r="T18" s="105" t="s">
        <v>144</v>
      </c>
      <c r="U18" s="105" t="s">
        <v>144</v>
      </c>
      <c r="V18" s="105" t="s">
        <v>144</v>
      </c>
      <c r="W18" s="105" t="s">
        <v>144</v>
      </c>
      <c r="X18" s="105" t="s">
        <v>144</v>
      </c>
      <c r="Y18" s="105"/>
      <c r="Z18" s="105"/>
      <c r="AA18" s="105"/>
      <c r="AB18" s="105"/>
      <c r="AC18" s="105"/>
      <c r="AD18" s="105"/>
    </row>
    <row r="19" spans="1:34" s="48" customFormat="1" ht="50" x14ac:dyDescent="0.25">
      <c r="A19" s="212" t="s">
        <v>1102</v>
      </c>
      <c r="B19" s="237" t="s">
        <v>52</v>
      </c>
      <c r="C19" s="373" t="s">
        <v>1293</v>
      </c>
      <c r="D19" s="38" t="s">
        <v>1076</v>
      </c>
      <c r="E19" s="143"/>
      <c r="F19" s="294"/>
      <c r="G19" s="146"/>
      <c r="H19" s="287" t="str">
        <f>HYPERLINK(CONCATENATE("http://garwiki.regn.net/mediawiki/index.php/Scorecard_Rule_",MID(A19,FIND(":",A19)+1,9)),"?")</f>
        <v>?</v>
      </c>
      <c r="I19" s="105"/>
      <c r="J19" s="106"/>
      <c r="K19" s="345"/>
      <c r="L19" s="346"/>
      <c r="M19" s="346"/>
      <c r="N19" s="346"/>
      <c r="O19" s="346" t="s">
        <v>144</v>
      </c>
      <c r="P19" s="346" t="s">
        <v>144</v>
      </c>
      <c r="Q19" s="346" t="s">
        <v>144</v>
      </c>
      <c r="R19" s="346" t="s">
        <v>144</v>
      </c>
      <c r="S19" s="345" t="s">
        <v>144</v>
      </c>
      <c r="T19" s="345" t="s">
        <v>144</v>
      </c>
      <c r="U19" s="346" t="s">
        <v>144</v>
      </c>
      <c r="V19" s="346" t="s">
        <v>144</v>
      </c>
      <c r="W19" s="345" t="s">
        <v>144</v>
      </c>
      <c r="X19" s="345" t="s">
        <v>144</v>
      </c>
      <c r="Y19" s="345"/>
      <c r="Z19" s="345"/>
      <c r="AA19" s="345"/>
      <c r="AB19" s="345"/>
      <c r="AC19" s="345"/>
      <c r="AD19" s="345"/>
      <c r="AE19"/>
      <c r="AF19"/>
      <c r="AG19"/>
      <c r="AH19"/>
    </row>
    <row r="20" spans="1:34" ht="13" x14ac:dyDescent="0.25">
      <c r="A20" s="212" t="s">
        <v>1088</v>
      </c>
      <c r="B20" s="129" t="s">
        <v>143</v>
      </c>
      <c r="C20" s="131" t="s">
        <v>336</v>
      </c>
      <c r="D20" s="574" t="s">
        <v>1163</v>
      </c>
      <c r="E20" s="575"/>
      <c r="F20" s="575"/>
      <c r="G20" s="576"/>
      <c r="H20" s="287" t="str">
        <f>HYPERLINK(CONCATENATE("http://garwiki.regn.net/mediawiki/index.php/",SUBSTITUTE(D20," ","_"),"_(golden_rule)"),"?")</f>
        <v>?</v>
      </c>
      <c r="I20" s="130" t="str">
        <f>I21</f>
        <v/>
      </c>
      <c r="J20" s="130" t="str">
        <f t="shared" si="6"/>
        <v/>
      </c>
      <c r="K20" s="130" t="str">
        <f>K21</f>
        <v/>
      </c>
      <c r="L20" s="130" t="str">
        <f t="shared" si="6"/>
        <v/>
      </c>
      <c r="M20" s="130" t="str">
        <f t="shared" si="6"/>
        <v/>
      </c>
      <c r="N20" s="130" t="str">
        <f t="shared" si="6"/>
        <v/>
      </c>
      <c r="O20" s="130" t="str">
        <f t="shared" si="6"/>
        <v>x</v>
      </c>
      <c r="P20" s="130" t="str">
        <f t="shared" si="6"/>
        <v>x</v>
      </c>
      <c r="Q20" s="130" t="str">
        <f t="shared" si="6"/>
        <v>x</v>
      </c>
      <c r="R20" s="130" t="str">
        <f t="shared" si="6"/>
        <v>x</v>
      </c>
      <c r="S20" s="130" t="str">
        <f t="shared" si="6"/>
        <v>x</v>
      </c>
      <c r="T20" s="130" t="str">
        <f t="shared" si="6"/>
        <v>x</v>
      </c>
      <c r="U20" s="130" t="str">
        <f t="shared" si="6"/>
        <v>x</v>
      </c>
      <c r="V20" s="130" t="str">
        <f t="shared" si="6"/>
        <v>x</v>
      </c>
      <c r="W20" s="130" t="str">
        <f t="shared" si="6"/>
        <v>x</v>
      </c>
      <c r="X20" s="130" t="str">
        <f t="shared" si="6"/>
        <v>x</v>
      </c>
      <c r="Y20" s="130" t="str">
        <f t="shared" si="6"/>
        <v/>
      </c>
      <c r="Z20" s="130" t="str">
        <f t="shared" si="6"/>
        <v/>
      </c>
      <c r="AA20" s="130" t="str">
        <f t="shared" si="6"/>
        <v/>
      </c>
      <c r="AB20" s="130" t="str">
        <f t="shared" si="6"/>
        <v/>
      </c>
      <c r="AC20" s="130" t="str">
        <f t="shared" si="6"/>
        <v/>
      </c>
      <c r="AD20" s="130" t="str">
        <f t="shared" si="6"/>
        <v/>
      </c>
    </row>
    <row r="21" spans="1:34" x14ac:dyDescent="0.25">
      <c r="A21" s="212"/>
      <c r="B21" s="594" t="s">
        <v>1163</v>
      </c>
      <c r="C21" s="604"/>
      <c r="D21" s="594"/>
      <c r="E21" s="179"/>
      <c r="F21" s="147" t="s">
        <v>31</v>
      </c>
      <c r="G21" s="145"/>
      <c r="H21" s="142"/>
      <c r="I21" s="105" t="str">
        <f>IF(COUNTIF(I22:I24,"x")=0,"","x")</f>
        <v/>
      </c>
      <c r="J21" s="105" t="str">
        <f t="shared" ref="J21:AD21" si="8">IF(COUNTIF(J22:J24,"x")=0,"","x")</f>
        <v/>
      </c>
      <c r="K21" s="105" t="str">
        <f t="shared" si="8"/>
        <v/>
      </c>
      <c r="L21" s="105" t="str">
        <f t="shared" si="8"/>
        <v/>
      </c>
      <c r="M21" s="105" t="str">
        <f t="shared" si="8"/>
        <v/>
      </c>
      <c r="N21" s="105" t="str">
        <f t="shared" si="8"/>
        <v/>
      </c>
      <c r="O21" s="105" t="str">
        <f t="shared" si="8"/>
        <v>x</v>
      </c>
      <c r="P21" s="105" t="str">
        <f t="shared" si="8"/>
        <v>x</v>
      </c>
      <c r="Q21" s="105" t="str">
        <f t="shared" si="8"/>
        <v>x</v>
      </c>
      <c r="R21" s="105" t="str">
        <f t="shared" si="8"/>
        <v>x</v>
      </c>
      <c r="S21" s="105" t="str">
        <f t="shared" si="8"/>
        <v>x</v>
      </c>
      <c r="T21" s="105" t="str">
        <f t="shared" si="8"/>
        <v>x</v>
      </c>
      <c r="U21" s="105" t="str">
        <f t="shared" si="8"/>
        <v>x</v>
      </c>
      <c r="V21" s="105" t="str">
        <f t="shared" si="8"/>
        <v>x</v>
      </c>
      <c r="W21" s="105" t="str">
        <f t="shared" si="8"/>
        <v>x</v>
      </c>
      <c r="X21" s="105" t="str">
        <f t="shared" si="8"/>
        <v>x</v>
      </c>
      <c r="Y21" s="105" t="str">
        <f t="shared" si="8"/>
        <v/>
      </c>
      <c r="Z21" s="105" t="str">
        <f t="shared" si="8"/>
        <v/>
      </c>
      <c r="AA21" s="105" t="str">
        <f t="shared" si="8"/>
        <v/>
      </c>
      <c r="AB21" s="105" t="str">
        <f t="shared" si="8"/>
        <v/>
      </c>
      <c r="AC21" s="105" t="str">
        <f t="shared" si="8"/>
        <v/>
      </c>
      <c r="AD21" s="105" t="str">
        <f t="shared" si="8"/>
        <v/>
      </c>
    </row>
    <row r="22" spans="1:34" x14ac:dyDescent="0.25">
      <c r="A22" s="212" t="s">
        <v>459</v>
      </c>
      <c r="B22" s="64" t="s">
        <v>52</v>
      </c>
      <c r="C22" s="373" t="s">
        <v>1294</v>
      </c>
      <c r="D22" s="38" t="s">
        <v>1064</v>
      </c>
      <c r="E22" s="143"/>
      <c r="F22" s="294"/>
      <c r="G22" s="146"/>
      <c r="H22" s="287" t="str">
        <f t="shared" ref="H22:H23" si="9">HYPERLINK(CONCATENATE("http://garwiki.regn.net/mediawiki/index.php/Scorecard_Rule_",MID(A22,FIND(":",A22)+1,9)),"?")</f>
        <v>?</v>
      </c>
      <c r="I22" s="105"/>
      <c r="J22" s="106"/>
      <c r="K22" s="105"/>
      <c r="L22" s="106"/>
      <c r="M22" s="106"/>
      <c r="N22" s="106"/>
      <c r="O22" s="106"/>
      <c r="P22" s="106"/>
      <c r="Q22" s="106"/>
      <c r="R22" s="106"/>
      <c r="S22" s="105" t="s">
        <v>144</v>
      </c>
      <c r="T22" s="105" t="s">
        <v>144</v>
      </c>
      <c r="U22" s="106"/>
      <c r="V22" s="106"/>
      <c r="W22" s="105" t="s">
        <v>144</v>
      </c>
      <c r="X22" s="105" t="s">
        <v>144</v>
      </c>
      <c r="Y22" s="105"/>
      <c r="Z22" s="105"/>
      <c r="AA22" s="105"/>
      <c r="AB22" s="105"/>
      <c r="AC22" s="105"/>
      <c r="AD22" s="105"/>
    </row>
    <row r="23" spans="1:34" ht="25" x14ac:dyDescent="0.25">
      <c r="A23" s="212" t="s">
        <v>460</v>
      </c>
      <c r="B23" s="64" t="s">
        <v>52</v>
      </c>
      <c r="C23" s="373" t="s">
        <v>1295</v>
      </c>
      <c r="D23" s="38" t="s">
        <v>1019</v>
      </c>
      <c r="E23" s="143"/>
      <c r="F23" s="294"/>
      <c r="G23" s="146"/>
      <c r="H23" s="287" t="str">
        <f t="shared" si="9"/>
        <v>?</v>
      </c>
      <c r="I23" s="105"/>
      <c r="J23" s="106"/>
      <c r="K23" s="105"/>
      <c r="L23" s="106"/>
      <c r="M23" s="106"/>
      <c r="N23" s="106"/>
      <c r="O23" s="105" t="s">
        <v>144</v>
      </c>
      <c r="P23" s="105" t="s">
        <v>144</v>
      </c>
      <c r="Q23" s="106" t="s">
        <v>144</v>
      </c>
      <c r="R23" s="106" t="s">
        <v>144</v>
      </c>
      <c r="S23" s="105" t="s">
        <v>144</v>
      </c>
      <c r="T23" s="105" t="s">
        <v>144</v>
      </c>
      <c r="U23" s="106" t="s">
        <v>144</v>
      </c>
      <c r="V23" s="106" t="s">
        <v>144</v>
      </c>
      <c r="W23" s="105" t="s">
        <v>144</v>
      </c>
      <c r="X23" s="105" t="s">
        <v>144</v>
      </c>
      <c r="Y23" s="105"/>
      <c r="Z23" s="105"/>
      <c r="AA23" s="105"/>
      <c r="AB23" s="105"/>
      <c r="AC23" s="105"/>
      <c r="AD23" s="105"/>
    </row>
    <row r="24" spans="1:34" ht="25" x14ac:dyDescent="0.25">
      <c r="A24" s="212" t="s">
        <v>461</v>
      </c>
      <c r="B24" s="64" t="s">
        <v>52</v>
      </c>
      <c r="C24" s="373" t="s">
        <v>1296</v>
      </c>
      <c r="D24" s="61" t="s">
        <v>702</v>
      </c>
      <c r="E24" s="143"/>
      <c r="F24" s="294"/>
      <c r="G24" s="146"/>
      <c r="H24" s="287" t="str">
        <f>HYPERLINK(CONCATENATE("http://garwiki.regn.net/mediawiki/index.php/Scorecard_Rule_",MID(A24,FIND(":",A24)+1,9)),"?")</f>
        <v>?</v>
      </c>
      <c r="I24" s="105"/>
      <c r="J24" s="106"/>
      <c r="K24" s="105"/>
      <c r="L24" s="106"/>
      <c r="M24" s="106"/>
      <c r="N24" s="106"/>
      <c r="O24" s="106" t="s">
        <v>144</v>
      </c>
      <c r="P24" s="106" t="s">
        <v>144</v>
      </c>
      <c r="Q24" s="105" t="s">
        <v>144</v>
      </c>
      <c r="R24" s="105" t="s">
        <v>144</v>
      </c>
      <c r="S24" s="106"/>
      <c r="T24" s="106"/>
      <c r="U24" s="106"/>
      <c r="V24" s="106"/>
      <c r="W24" s="106"/>
      <c r="X24" s="106"/>
      <c r="Y24" s="106"/>
      <c r="Z24" s="106"/>
      <c r="AA24" s="106"/>
      <c r="AB24" s="106"/>
      <c r="AC24" s="106"/>
      <c r="AD24" s="106"/>
    </row>
    <row r="25" spans="1:34" ht="13" x14ac:dyDescent="0.25">
      <c r="A25" s="212" t="s">
        <v>1089</v>
      </c>
      <c r="B25" s="129" t="s">
        <v>143</v>
      </c>
      <c r="C25" s="131" t="s">
        <v>626</v>
      </c>
      <c r="D25" s="577" t="s">
        <v>1164</v>
      </c>
      <c r="E25" s="575"/>
      <c r="F25" s="575"/>
      <c r="G25" s="578"/>
      <c r="H25" s="287" t="str">
        <f>HYPERLINK(CONCATENATE("http://garwiki.regn.net/mediawiki/index.php/",SUBSTITUTE(D25," ","_"),"_(golden_rule)"),"?")</f>
        <v>?</v>
      </c>
      <c r="I25" s="130" t="str">
        <f>I26</f>
        <v/>
      </c>
      <c r="J25" s="130" t="str">
        <f t="shared" ref="J25:AD25" si="10">J26</f>
        <v/>
      </c>
      <c r="K25" s="130" t="str">
        <f>K26</f>
        <v/>
      </c>
      <c r="L25" s="130" t="str">
        <f t="shared" si="10"/>
        <v/>
      </c>
      <c r="M25" s="130" t="str">
        <f t="shared" si="10"/>
        <v/>
      </c>
      <c r="N25" s="130" t="str">
        <f t="shared" si="10"/>
        <v/>
      </c>
      <c r="O25" s="130" t="str">
        <f t="shared" si="10"/>
        <v>x</v>
      </c>
      <c r="P25" s="130" t="str">
        <f t="shared" si="10"/>
        <v>x</v>
      </c>
      <c r="Q25" s="130" t="str">
        <f t="shared" si="10"/>
        <v>x</v>
      </c>
      <c r="R25" s="130" t="str">
        <f t="shared" si="10"/>
        <v>x</v>
      </c>
      <c r="S25" s="130" t="str">
        <f t="shared" si="10"/>
        <v/>
      </c>
      <c r="T25" s="130" t="str">
        <f t="shared" si="10"/>
        <v/>
      </c>
      <c r="U25" s="130" t="str">
        <f t="shared" si="10"/>
        <v/>
      </c>
      <c r="V25" s="130" t="str">
        <f t="shared" si="10"/>
        <v/>
      </c>
      <c r="W25" s="130" t="str">
        <f t="shared" si="10"/>
        <v/>
      </c>
      <c r="X25" s="130" t="str">
        <f t="shared" si="10"/>
        <v/>
      </c>
      <c r="Y25" s="130" t="str">
        <f t="shared" si="10"/>
        <v/>
      </c>
      <c r="Z25" s="130" t="str">
        <f t="shared" si="10"/>
        <v/>
      </c>
      <c r="AA25" s="130" t="str">
        <f t="shared" si="10"/>
        <v/>
      </c>
      <c r="AB25" s="130" t="str">
        <f t="shared" si="10"/>
        <v/>
      </c>
      <c r="AC25" s="130" t="str">
        <f t="shared" si="10"/>
        <v/>
      </c>
      <c r="AD25" s="130" t="str">
        <f t="shared" si="10"/>
        <v/>
      </c>
    </row>
    <row r="26" spans="1:34" x14ac:dyDescent="0.25">
      <c r="A26" s="212"/>
      <c r="B26" s="596" t="s">
        <v>1164</v>
      </c>
      <c r="C26" s="570"/>
      <c r="D26" s="571"/>
      <c r="E26" s="179"/>
      <c r="F26" s="147" t="s">
        <v>31</v>
      </c>
      <c r="G26" s="145"/>
      <c r="H26" s="142"/>
      <c r="I26" s="105" t="str">
        <f t="shared" ref="I26:AD26" si="11">IF(COUNTIF(I27:I28,"x")=0,"","x")</f>
        <v/>
      </c>
      <c r="J26" s="105" t="str">
        <f t="shared" si="11"/>
        <v/>
      </c>
      <c r="K26" s="105" t="str">
        <f t="shared" si="11"/>
        <v/>
      </c>
      <c r="L26" s="105" t="str">
        <f t="shared" si="11"/>
        <v/>
      </c>
      <c r="M26" s="105" t="str">
        <f t="shared" si="11"/>
        <v/>
      </c>
      <c r="N26" s="105" t="str">
        <f t="shared" si="11"/>
        <v/>
      </c>
      <c r="O26" s="105" t="str">
        <f t="shared" si="11"/>
        <v>x</v>
      </c>
      <c r="P26" s="105" t="str">
        <f t="shared" si="11"/>
        <v>x</v>
      </c>
      <c r="Q26" s="105" t="str">
        <f t="shared" si="11"/>
        <v>x</v>
      </c>
      <c r="R26" s="105" t="str">
        <f t="shared" si="11"/>
        <v>x</v>
      </c>
      <c r="S26" s="105" t="str">
        <f t="shared" si="11"/>
        <v/>
      </c>
      <c r="T26" s="105" t="str">
        <f t="shared" si="11"/>
        <v/>
      </c>
      <c r="U26" s="105" t="str">
        <f t="shared" si="11"/>
        <v/>
      </c>
      <c r="V26" s="105" t="str">
        <f t="shared" si="11"/>
        <v/>
      </c>
      <c r="W26" s="105" t="str">
        <f t="shared" si="11"/>
        <v/>
      </c>
      <c r="X26" s="105" t="str">
        <f t="shared" si="11"/>
        <v/>
      </c>
      <c r="Y26" s="105" t="str">
        <f t="shared" si="11"/>
        <v/>
      </c>
      <c r="Z26" s="105" t="str">
        <f t="shared" si="11"/>
        <v/>
      </c>
      <c r="AA26" s="105" t="str">
        <f t="shared" si="11"/>
        <v/>
      </c>
      <c r="AB26" s="105" t="str">
        <f t="shared" si="11"/>
        <v/>
      </c>
      <c r="AC26" s="105" t="str">
        <f t="shared" si="11"/>
        <v/>
      </c>
      <c r="AD26" s="105" t="str">
        <f t="shared" si="11"/>
        <v/>
      </c>
    </row>
    <row r="27" spans="1:34" ht="37.5" x14ac:dyDescent="0.25">
      <c r="A27" s="212" t="s">
        <v>1103</v>
      </c>
      <c r="B27" s="64" t="s">
        <v>52</v>
      </c>
      <c r="C27" s="373" t="s">
        <v>1297</v>
      </c>
      <c r="D27" s="61" t="s">
        <v>1021</v>
      </c>
      <c r="E27" s="143"/>
      <c r="F27" s="294"/>
      <c r="G27" s="146"/>
      <c r="H27" s="287" t="str">
        <f t="shared" ref="H27:H28" si="12">HYPERLINK(CONCATENATE("http://garwiki.regn.net/mediawiki/index.php/Scorecard_Rule_",MID(A27,FIND(":",A27)+1,9)),"?")</f>
        <v>?</v>
      </c>
      <c r="I27" s="105"/>
      <c r="J27" s="106"/>
      <c r="K27" s="105"/>
      <c r="L27" s="106"/>
      <c r="M27" s="106"/>
      <c r="N27" s="106"/>
      <c r="O27" s="106" t="s">
        <v>144</v>
      </c>
      <c r="P27" s="106" t="s">
        <v>144</v>
      </c>
      <c r="Q27" s="105" t="s">
        <v>144</v>
      </c>
      <c r="R27" s="105" t="s">
        <v>144</v>
      </c>
      <c r="S27" s="105"/>
      <c r="T27" s="106"/>
      <c r="U27" s="106"/>
      <c r="V27" s="106"/>
      <c r="W27" s="106"/>
      <c r="X27" s="106"/>
      <c r="Y27" s="106"/>
      <c r="Z27" s="106"/>
      <c r="AA27" s="106"/>
      <c r="AB27" s="106"/>
      <c r="AC27" s="106"/>
      <c r="AD27" s="106"/>
    </row>
    <row r="28" spans="1:34" ht="25" x14ac:dyDescent="0.25">
      <c r="A28" s="212" t="s">
        <v>1104</v>
      </c>
      <c r="B28" s="64" t="s">
        <v>52</v>
      </c>
      <c r="C28" s="373" t="s">
        <v>305</v>
      </c>
      <c r="D28" s="61" t="s">
        <v>1022</v>
      </c>
      <c r="E28" s="143"/>
      <c r="F28" s="294"/>
      <c r="G28" s="146"/>
      <c r="H28" s="287" t="str">
        <f t="shared" si="12"/>
        <v>?</v>
      </c>
      <c r="I28" s="105"/>
      <c r="J28" s="106"/>
      <c r="K28" s="105"/>
      <c r="L28" s="106"/>
      <c r="M28" s="106"/>
      <c r="N28" s="106"/>
      <c r="O28" s="106" t="s">
        <v>144</v>
      </c>
      <c r="P28" s="106" t="s">
        <v>144</v>
      </c>
      <c r="Q28" s="105" t="s">
        <v>144</v>
      </c>
      <c r="R28" s="105" t="s">
        <v>144</v>
      </c>
      <c r="S28" s="106"/>
      <c r="T28" s="106"/>
      <c r="U28" s="106"/>
      <c r="V28" s="106"/>
      <c r="W28" s="106"/>
      <c r="X28" s="106"/>
      <c r="Y28" s="106"/>
      <c r="Z28" s="106"/>
      <c r="AA28" s="106"/>
      <c r="AB28" s="106"/>
      <c r="AC28" s="106"/>
      <c r="AD28" s="106"/>
    </row>
  </sheetData>
  <sheetProtection formatColumns="0" formatRows="0"/>
  <dataConsolidate/>
  <mergeCells count="23">
    <mergeCell ref="D20:G20"/>
    <mergeCell ref="B10:D10"/>
    <mergeCell ref="D16:G16"/>
    <mergeCell ref="B17:D17"/>
    <mergeCell ref="D1:G1"/>
    <mergeCell ref="B2:D2"/>
    <mergeCell ref="D9:G9"/>
    <mergeCell ref="B26:D26"/>
    <mergeCell ref="D25:G25"/>
    <mergeCell ref="AC2:AD2"/>
    <mergeCell ref="U2:V2"/>
    <mergeCell ref="M2:N2"/>
    <mergeCell ref="I2:J2"/>
    <mergeCell ref="O2:P2"/>
    <mergeCell ref="Q2:R2"/>
    <mergeCell ref="S2:T2"/>
    <mergeCell ref="K2:L2"/>
    <mergeCell ref="AA2:AB2"/>
    <mergeCell ref="Y2:Z2"/>
    <mergeCell ref="W2:X2"/>
    <mergeCell ref="B21:D21"/>
    <mergeCell ref="D5:G5"/>
    <mergeCell ref="B6:D6"/>
  </mergeCells>
  <phoneticPr fontId="2" type="noConversion"/>
  <conditionalFormatting sqref="E2:E4 E10:E15 E18 E20:E28">
    <cfRule type="cellIs" dxfId="78" priority="41" stopIfTrue="1" operator="equal">
      <formula>"N/A"</formula>
    </cfRule>
    <cfRule type="cellIs" dxfId="77" priority="43" stopIfTrue="1" operator="equal">
      <formula>"Yes-N/A"</formula>
    </cfRule>
    <cfRule type="cellIs" dxfId="76" priority="44" stopIfTrue="1" operator="equal">
      <formula>"P-WVR"</formula>
    </cfRule>
    <cfRule type="cellIs" dxfId="75" priority="45" stopIfTrue="1" operator="equal">
      <formula>"No"</formula>
    </cfRule>
    <cfRule type="cellIs" dxfId="74" priority="46" stopIfTrue="1" operator="equal">
      <formula>"Yes"</formula>
    </cfRule>
    <cfRule type="cellIs" dxfId="73" priority="47" stopIfTrue="1" operator="equal">
      <formula>"WVR"</formula>
    </cfRule>
    <cfRule type="cellIs" dxfId="72" priority="48" stopIfTrue="1" operator="equal">
      <formula>"T-WVR"</formula>
    </cfRule>
    <cfRule type="cellIs" dxfId="71" priority="49" stopIfTrue="1" operator="equal">
      <formula>"R"</formula>
    </cfRule>
    <cfRule type="cellIs" dxfId="70" priority="50" stopIfTrue="1" operator="equal">
      <formula>"Y"</formula>
    </cfRule>
    <cfRule type="cellIs" dxfId="69" priority="51" stopIfTrue="1" operator="equal">
      <formula>"G"</formula>
    </cfRule>
  </conditionalFormatting>
  <conditionalFormatting sqref="E5:E8">
    <cfRule type="cellIs" dxfId="68" priority="31" stopIfTrue="1" operator="equal">
      <formula>"N/A"</formula>
    </cfRule>
    <cfRule type="cellIs" dxfId="67" priority="32" stopIfTrue="1" operator="equal">
      <formula>"Yes-N/A"</formula>
    </cfRule>
    <cfRule type="cellIs" dxfId="66" priority="33" stopIfTrue="1" operator="equal">
      <formula>"P-WVR"</formula>
    </cfRule>
    <cfRule type="cellIs" dxfId="65" priority="34" stopIfTrue="1" operator="equal">
      <formula>"No"</formula>
    </cfRule>
    <cfRule type="cellIs" dxfId="64" priority="35" stopIfTrue="1" operator="equal">
      <formula>"Yes"</formula>
    </cfRule>
    <cfRule type="cellIs" dxfId="63" priority="36" stopIfTrue="1" operator="equal">
      <formula>"WVR"</formula>
    </cfRule>
    <cfRule type="cellIs" dxfId="62" priority="37" stopIfTrue="1" operator="equal">
      <formula>"T-WVR"</formula>
    </cfRule>
    <cfRule type="cellIs" dxfId="61" priority="38" stopIfTrue="1" operator="equal">
      <formula>"R"</formula>
    </cfRule>
    <cfRule type="cellIs" dxfId="60" priority="39" stopIfTrue="1" operator="equal">
      <formula>"Y"</formula>
    </cfRule>
    <cfRule type="cellIs" dxfId="59" priority="40" stopIfTrue="1" operator="equal">
      <formula>"G"</formula>
    </cfRule>
  </conditionalFormatting>
  <conditionalFormatting sqref="E16:E17">
    <cfRule type="cellIs" dxfId="58" priority="21" stopIfTrue="1" operator="equal">
      <formula>"N/A"</formula>
    </cfRule>
    <cfRule type="cellIs" dxfId="57" priority="22" stopIfTrue="1" operator="equal">
      <formula>"Yes-N/A"</formula>
    </cfRule>
    <cfRule type="cellIs" dxfId="56" priority="23" stopIfTrue="1" operator="equal">
      <formula>"P-WVR"</formula>
    </cfRule>
    <cfRule type="cellIs" dxfId="55" priority="24" stopIfTrue="1" operator="equal">
      <formula>"No"</formula>
    </cfRule>
    <cfRule type="cellIs" dxfId="54" priority="25" stopIfTrue="1" operator="equal">
      <formula>"Yes"</formula>
    </cfRule>
    <cfRule type="cellIs" dxfId="53" priority="26" stopIfTrue="1" operator="equal">
      <formula>"WVR"</formula>
    </cfRule>
    <cfRule type="cellIs" dxfId="52" priority="27" stopIfTrue="1" operator="equal">
      <formula>"T-WVR"</formula>
    </cfRule>
    <cfRule type="cellIs" dxfId="51" priority="28" stopIfTrue="1" operator="equal">
      <formula>"R"</formula>
    </cfRule>
    <cfRule type="cellIs" dxfId="50" priority="29" stopIfTrue="1" operator="equal">
      <formula>"Y"</formula>
    </cfRule>
    <cfRule type="cellIs" dxfId="49" priority="30" stopIfTrue="1" operator="equal">
      <formula>"G"</formula>
    </cfRule>
  </conditionalFormatting>
  <conditionalFormatting sqref="E19">
    <cfRule type="cellIs" dxfId="48" priority="11" operator="equal">
      <formula>"N/A"</formula>
    </cfRule>
    <cfRule type="cellIs" dxfId="47" priority="12" stopIfTrue="1" operator="equal">
      <formula>"T-WVR"</formula>
    </cfRule>
    <cfRule type="cellIs" dxfId="46" priority="13" stopIfTrue="1" operator="equal">
      <formula>"Yes-N/A"</formula>
    </cfRule>
    <cfRule type="cellIs" dxfId="45" priority="14" stopIfTrue="1" operator="equal">
      <formula>"P-WVR"</formula>
    </cfRule>
    <cfRule type="cellIs" dxfId="44" priority="15" stopIfTrue="1" operator="equal">
      <formula>"No"</formula>
    </cfRule>
    <cfRule type="cellIs" dxfId="43" priority="16" stopIfTrue="1" operator="equal">
      <formula>"Yes"</formula>
    </cfRule>
    <cfRule type="cellIs" dxfId="42" priority="17" stopIfTrue="1" operator="equal">
      <formula>"WVR"</formula>
    </cfRule>
    <cfRule type="cellIs" dxfId="41" priority="18" stopIfTrue="1" operator="equal">
      <formula>"R"</formula>
    </cfRule>
    <cfRule type="cellIs" dxfId="40" priority="19" stopIfTrue="1" operator="equal">
      <formula>"Y"</formula>
    </cfRule>
    <cfRule type="cellIs" dxfId="39" priority="20" stopIfTrue="1" operator="equal">
      <formula>"G"</formula>
    </cfRule>
  </conditionalFormatting>
  <conditionalFormatting sqref="E9">
    <cfRule type="cellIs" dxfId="38" priority="1" stopIfTrue="1" operator="equal">
      <formula>"N/A"</formula>
    </cfRule>
    <cfRule type="cellIs" dxfId="37" priority="2" stopIfTrue="1" operator="equal">
      <formula>"Yes-N/A"</formula>
    </cfRule>
    <cfRule type="cellIs" dxfId="36" priority="3" stopIfTrue="1" operator="equal">
      <formula>"P-WVR"</formula>
    </cfRule>
    <cfRule type="cellIs" dxfId="35" priority="4" stopIfTrue="1" operator="equal">
      <formula>"No"</formula>
    </cfRule>
    <cfRule type="cellIs" dxfId="34" priority="5" stopIfTrue="1" operator="equal">
      <formula>"Yes"</formula>
    </cfRule>
    <cfRule type="cellIs" dxfId="33" priority="6" stopIfTrue="1" operator="equal">
      <formula>"WVR"</formula>
    </cfRule>
    <cfRule type="cellIs" dxfId="32" priority="7" stopIfTrue="1" operator="equal">
      <formula>"T-WVR"</formula>
    </cfRule>
    <cfRule type="cellIs" dxfId="31" priority="8" stopIfTrue="1" operator="equal">
      <formula>"R"</formula>
    </cfRule>
    <cfRule type="cellIs" dxfId="30" priority="9" stopIfTrue="1" operator="equal">
      <formula>"Y"</formula>
    </cfRule>
    <cfRule type="cellIs" dxfId="29" priority="10" stopIfTrue="1" operator="equal">
      <formula>"G"</formula>
    </cfRule>
  </conditionalFormatting>
  <dataValidations count="4">
    <dataValidation type="list" allowBlank="1" showInputMessage="1" showErrorMessage="1" sqref="E7:E8 E11:E15 E18:E19 E22:E24 E27:E28">
      <formula1>ValidValues</formula1>
    </dataValidation>
    <dataValidation type="list" allowBlank="1" showInputMessage="1" showErrorMessage="1" sqref="E26 E6 E21 E10 E17">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28">
      <formula1>1</formula1>
      <formula2>10000</formula2>
    </dataValidation>
  </dataValidations>
  <pageMargins left="0.7" right="0.7" top="0.75" bottom="0.75" header="0.3" footer="0.3"/>
  <pageSetup scale="97" fitToHeight="100" orientation="landscape" r:id="rId1"/>
  <headerFooter alignWithMargins="0">
    <oddHeader>&amp;L&amp;F&amp;C&amp;A&amp;R&amp;D</oddHeader>
    <oddFooter>&amp;C&amp;P of &amp;N</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autoPageBreaks="0" fitToPage="1"/>
  </sheetPr>
  <dimension ref="A1:AD31"/>
  <sheetViews>
    <sheetView zoomScaleNormal="100" workbookViewId="0">
      <pane ySplit="4" topLeftCell="A5" activePane="bottomLeft" state="frozen"/>
      <selection pane="bottomLeft" activeCell="E7" sqref="E7"/>
    </sheetView>
  </sheetViews>
  <sheetFormatPr defaultRowHeight="12.5" x14ac:dyDescent="0.25"/>
  <cols>
    <col min="1" max="1" width="1.81640625" customWidth="1"/>
    <col min="2" max="2" width="5.7265625" customWidth="1"/>
    <col min="3" max="3" width="9.1796875" customWidth="1"/>
    <col min="4" max="4" width="54.453125" customWidth="1"/>
    <col min="5" max="5" width="8" customWidth="1"/>
    <col min="6" max="6" width="41.54296875" customWidth="1"/>
    <col min="7" max="7" width="9.453125" customWidth="1"/>
    <col min="8" max="8" width="2" bestFit="1" customWidth="1"/>
    <col min="9" max="12" width="3.81640625" customWidth="1"/>
    <col min="13" max="13" width="3.7265625" customWidth="1"/>
    <col min="14" max="30" width="3.81640625" customWidth="1"/>
  </cols>
  <sheetData>
    <row r="1" spans="1:30" ht="18" x14ac:dyDescent="0.25">
      <c r="A1" s="212" t="s">
        <v>558</v>
      </c>
      <c r="B1" s="372" t="s">
        <v>143</v>
      </c>
      <c r="C1" s="371">
        <v>10</v>
      </c>
      <c r="D1" s="580" t="s">
        <v>73</v>
      </c>
      <c r="E1" s="581"/>
      <c r="F1" s="581"/>
      <c r="G1" s="582"/>
      <c r="H1" s="287" t="str">
        <f>HYPERLINK(CONCATENATE("http://garwiki.regn.net/mediawiki/index.php/",SUBSTITUTE(D1," ","_"),"_(principle)"),"?")</f>
        <v>?</v>
      </c>
      <c r="I1" s="134" t="s">
        <v>414</v>
      </c>
      <c r="J1" s="134" t="s">
        <v>415</v>
      </c>
      <c r="K1" s="134" t="s">
        <v>414</v>
      </c>
      <c r="L1" s="134" t="s">
        <v>415</v>
      </c>
      <c r="M1" s="134" t="s">
        <v>414</v>
      </c>
      <c r="N1" s="134" t="s">
        <v>415</v>
      </c>
      <c r="O1" s="134" t="s">
        <v>414</v>
      </c>
      <c r="P1" s="134" t="s">
        <v>415</v>
      </c>
      <c r="Q1" s="134" t="s">
        <v>414</v>
      </c>
      <c r="R1" s="134" t="s">
        <v>415</v>
      </c>
      <c r="S1" s="134" t="s">
        <v>414</v>
      </c>
      <c r="T1" s="134" t="s">
        <v>415</v>
      </c>
      <c r="U1" s="134" t="s">
        <v>414</v>
      </c>
      <c r="V1" s="134" t="s">
        <v>415</v>
      </c>
      <c r="W1" s="134" t="s">
        <v>414</v>
      </c>
      <c r="X1" s="134" t="s">
        <v>415</v>
      </c>
      <c r="Y1" s="134" t="s">
        <v>414</v>
      </c>
      <c r="Z1" s="134" t="s">
        <v>415</v>
      </c>
      <c r="AA1" s="134" t="s">
        <v>414</v>
      </c>
      <c r="AB1" s="134" t="s">
        <v>415</v>
      </c>
      <c r="AC1" s="134" t="s">
        <v>414</v>
      </c>
      <c r="AD1" s="134" t="s">
        <v>415</v>
      </c>
    </row>
    <row r="2" spans="1:30" ht="25.5" customHeight="1" x14ac:dyDescent="0.25">
      <c r="A2" s="212"/>
      <c r="B2" s="605" t="s">
        <v>1212</v>
      </c>
      <c r="C2" s="605"/>
      <c r="D2" s="605"/>
      <c r="E2" s="179"/>
      <c r="F2" s="304" t="s">
        <v>31</v>
      </c>
      <c r="G2" s="270"/>
      <c r="H2" s="142"/>
      <c r="I2" s="579" t="s">
        <v>883</v>
      </c>
      <c r="J2" s="579"/>
      <c r="K2" s="579" t="s">
        <v>882</v>
      </c>
      <c r="L2" s="579"/>
      <c r="M2" s="579" t="s">
        <v>416</v>
      </c>
      <c r="N2" s="579"/>
      <c r="O2" s="579" t="s">
        <v>312</v>
      </c>
      <c r="P2" s="579"/>
      <c r="Q2" s="579" t="s">
        <v>313</v>
      </c>
      <c r="R2" s="579"/>
      <c r="S2" s="579" t="s">
        <v>311</v>
      </c>
      <c r="T2" s="579"/>
      <c r="U2" s="579" t="s">
        <v>314</v>
      </c>
      <c r="V2" s="579"/>
      <c r="W2" s="583" t="s">
        <v>565</v>
      </c>
      <c r="X2" s="584"/>
      <c r="Y2" s="583" t="s">
        <v>887</v>
      </c>
      <c r="Z2" s="584"/>
      <c r="AA2" s="583" t="s">
        <v>888</v>
      </c>
      <c r="AB2" s="584"/>
      <c r="AC2" s="583" t="s">
        <v>889</v>
      </c>
      <c r="AD2" s="584"/>
    </row>
    <row r="3" spans="1:30" ht="13" thickBot="1" x14ac:dyDescent="0.3">
      <c r="A3" s="212"/>
    </row>
    <row r="4" spans="1:30" ht="26" x14ac:dyDescent="0.25">
      <c r="A4" s="212"/>
      <c r="B4" s="8" t="s">
        <v>50</v>
      </c>
      <c r="C4" s="9" t="s">
        <v>51</v>
      </c>
      <c r="D4" s="9" t="s">
        <v>35</v>
      </c>
      <c r="E4" s="255" t="s">
        <v>49</v>
      </c>
      <c r="F4" s="89" t="s">
        <v>58</v>
      </c>
      <c r="G4" s="256" t="s">
        <v>656</v>
      </c>
      <c r="I4" s="111" t="s">
        <v>144</v>
      </c>
      <c r="J4" s="111" t="s">
        <v>144</v>
      </c>
      <c r="K4" s="111" t="s">
        <v>144</v>
      </c>
      <c r="L4" s="111" t="s">
        <v>144</v>
      </c>
      <c r="M4" s="111" t="s">
        <v>144</v>
      </c>
      <c r="N4" s="111" t="s">
        <v>144</v>
      </c>
      <c r="O4" s="111" t="s">
        <v>144</v>
      </c>
      <c r="P4" s="111" t="s">
        <v>144</v>
      </c>
      <c r="Q4" s="111" t="s">
        <v>144</v>
      </c>
      <c r="R4" s="111" t="s">
        <v>144</v>
      </c>
      <c r="S4" s="111" t="s">
        <v>144</v>
      </c>
      <c r="T4" s="111" t="s">
        <v>144</v>
      </c>
      <c r="U4" s="111" t="s">
        <v>144</v>
      </c>
      <c r="V4" s="111" t="s">
        <v>144</v>
      </c>
      <c r="W4" s="111" t="s">
        <v>144</v>
      </c>
      <c r="X4" s="111" t="s">
        <v>144</v>
      </c>
      <c r="Y4" s="111" t="s">
        <v>144</v>
      </c>
      <c r="Z4" s="111" t="s">
        <v>144</v>
      </c>
      <c r="AA4" s="111" t="s">
        <v>144</v>
      </c>
      <c r="AB4" s="111" t="s">
        <v>144</v>
      </c>
      <c r="AC4" s="111" t="s">
        <v>144</v>
      </c>
      <c r="AD4" s="111" t="s">
        <v>144</v>
      </c>
    </row>
    <row r="5" spans="1:30" ht="13" x14ac:dyDescent="0.25">
      <c r="A5" s="212" t="s">
        <v>526</v>
      </c>
      <c r="B5" s="141" t="s">
        <v>143</v>
      </c>
      <c r="C5" s="138">
        <v>10.1</v>
      </c>
      <c r="D5" s="566" t="s">
        <v>1197</v>
      </c>
      <c r="E5" s="567"/>
      <c r="F5" s="567"/>
      <c r="G5" s="568"/>
      <c r="H5" s="287" t="str">
        <f>HYPERLINK(CONCATENATE("http://garwiki.regn.net/mediawiki/index.php/",SUBSTITUTE(D5," ","_"),"_(golden_rule)"),"?")</f>
        <v>?</v>
      </c>
      <c r="I5" s="188" t="str">
        <f>I6</f>
        <v/>
      </c>
      <c r="J5" s="188" t="str">
        <f t="shared" ref="J5:AD5" si="0">J6</f>
        <v>x</v>
      </c>
      <c r="K5" s="188" t="str">
        <f>K6</f>
        <v/>
      </c>
      <c r="L5" s="188" t="str">
        <f t="shared" si="0"/>
        <v>x</v>
      </c>
      <c r="M5" s="188" t="str">
        <f t="shared" si="0"/>
        <v/>
      </c>
      <c r="N5" s="188" t="str">
        <f t="shared" si="0"/>
        <v>x</v>
      </c>
      <c r="O5" s="188" t="str">
        <f t="shared" si="0"/>
        <v/>
      </c>
      <c r="P5" s="188" t="str">
        <f t="shared" si="0"/>
        <v>x</v>
      </c>
      <c r="Q5" s="188" t="str">
        <f t="shared" si="0"/>
        <v/>
      </c>
      <c r="R5" s="188" t="str">
        <f t="shared" si="0"/>
        <v>x</v>
      </c>
      <c r="S5" s="188" t="str">
        <f t="shared" si="0"/>
        <v/>
      </c>
      <c r="T5" s="188" t="str">
        <f t="shared" si="0"/>
        <v>x</v>
      </c>
      <c r="U5" s="188" t="str">
        <f t="shared" si="0"/>
        <v/>
      </c>
      <c r="V5" s="188" t="str">
        <f t="shared" si="0"/>
        <v>x</v>
      </c>
      <c r="W5" s="188" t="str">
        <f t="shared" si="0"/>
        <v/>
      </c>
      <c r="X5" s="188" t="str">
        <f t="shared" si="0"/>
        <v/>
      </c>
      <c r="Y5" s="188" t="str">
        <f t="shared" si="0"/>
        <v/>
      </c>
      <c r="Z5" s="188" t="str">
        <f t="shared" si="0"/>
        <v/>
      </c>
      <c r="AA5" s="188" t="str">
        <f t="shared" si="0"/>
        <v/>
      </c>
      <c r="AB5" s="188" t="str">
        <f t="shared" si="0"/>
        <v/>
      </c>
      <c r="AC5" s="188" t="str">
        <f t="shared" si="0"/>
        <v/>
      </c>
      <c r="AD5" s="188" t="str">
        <f t="shared" si="0"/>
        <v/>
      </c>
    </row>
    <row r="6" spans="1:30" x14ac:dyDescent="0.25">
      <c r="A6" s="212"/>
      <c r="B6" s="609" t="s">
        <v>1197</v>
      </c>
      <c r="C6" s="610"/>
      <c r="D6" s="609"/>
      <c r="E6" s="179"/>
      <c r="F6" s="305" t="s">
        <v>31</v>
      </c>
      <c r="G6" s="151"/>
      <c r="H6" s="142"/>
      <c r="I6" s="111" t="str">
        <f>IF(COUNTIF(I7:I18,"x")=0,"","x")</f>
        <v/>
      </c>
      <c r="J6" s="111" t="str">
        <f t="shared" ref="J6:AD6" si="1">IF(COUNTIF(J7:J18,"x")=0,"","x")</f>
        <v>x</v>
      </c>
      <c r="K6" s="111" t="str">
        <f t="shared" si="1"/>
        <v/>
      </c>
      <c r="L6" s="111" t="str">
        <f t="shared" si="1"/>
        <v>x</v>
      </c>
      <c r="M6" s="111" t="str">
        <f t="shared" si="1"/>
        <v/>
      </c>
      <c r="N6" s="111" t="str">
        <f t="shared" si="1"/>
        <v>x</v>
      </c>
      <c r="O6" s="111" t="str">
        <f t="shared" si="1"/>
        <v/>
      </c>
      <c r="P6" s="111" t="str">
        <f t="shared" si="1"/>
        <v>x</v>
      </c>
      <c r="Q6" s="111" t="str">
        <f t="shared" si="1"/>
        <v/>
      </c>
      <c r="R6" s="111" t="str">
        <f t="shared" si="1"/>
        <v>x</v>
      </c>
      <c r="S6" s="111" t="str">
        <f t="shared" si="1"/>
        <v/>
      </c>
      <c r="T6" s="111" t="str">
        <f t="shared" si="1"/>
        <v>x</v>
      </c>
      <c r="U6" s="111" t="str">
        <f t="shared" si="1"/>
        <v/>
      </c>
      <c r="V6" s="111" t="str">
        <f t="shared" si="1"/>
        <v>x</v>
      </c>
      <c r="W6" s="111" t="str">
        <f t="shared" si="1"/>
        <v/>
      </c>
      <c r="X6" s="111" t="str">
        <f t="shared" si="1"/>
        <v/>
      </c>
      <c r="Y6" s="111" t="str">
        <f t="shared" si="1"/>
        <v/>
      </c>
      <c r="Z6" s="111" t="str">
        <f t="shared" si="1"/>
        <v/>
      </c>
      <c r="AA6" s="111" t="str">
        <f t="shared" si="1"/>
        <v/>
      </c>
      <c r="AB6" s="111" t="str">
        <f t="shared" si="1"/>
        <v/>
      </c>
      <c r="AC6" s="111" t="str">
        <f t="shared" si="1"/>
        <v/>
      </c>
      <c r="AD6" s="111" t="str">
        <f t="shared" si="1"/>
        <v/>
      </c>
    </row>
    <row r="7" spans="1:30" ht="25" x14ac:dyDescent="0.25">
      <c r="A7" s="212" t="s">
        <v>527</v>
      </c>
      <c r="B7" s="291" t="s">
        <v>52</v>
      </c>
      <c r="C7" s="373" t="s">
        <v>74</v>
      </c>
      <c r="D7" s="402" t="s">
        <v>976</v>
      </c>
      <c r="E7" s="254"/>
      <c r="F7" s="296"/>
      <c r="G7" s="158"/>
      <c r="H7" s="287" t="str">
        <f t="shared" ref="H7:H10" si="2">HYPERLINK(CONCATENATE("http://garwiki.regn.net/mediawiki/index.php/Scorecard_Rule_",MID(A7,FIND(":",A7)+1,9)),"?")</f>
        <v>?</v>
      </c>
      <c r="I7" s="111"/>
      <c r="J7" s="347" t="s">
        <v>144</v>
      </c>
      <c r="K7" s="111"/>
      <c r="L7" s="347" t="s">
        <v>144</v>
      </c>
      <c r="M7" s="187"/>
      <c r="N7" s="111" t="s">
        <v>144</v>
      </c>
      <c r="O7" s="110"/>
      <c r="P7" s="111" t="s">
        <v>144</v>
      </c>
      <c r="Q7" s="110"/>
      <c r="R7" s="111" t="s">
        <v>144</v>
      </c>
      <c r="S7" s="110"/>
      <c r="T7" s="111" t="s">
        <v>144</v>
      </c>
      <c r="U7" s="110"/>
      <c r="V7" s="111" t="s">
        <v>144</v>
      </c>
      <c r="W7" s="111"/>
      <c r="X7" s="111"/>
      <c r="Y7" s="110"/>
      <c r="Z7" s="110"/>
      <c r="AA7" s="110"/>
      <c r="AB7" s="110"/>
      <c r="AC7" s="110"/>
      <c r="AD7" s="110"/>
    </row>
    <row r="8" spans="1:30" ht="37.5" x14ac:dyDescent="0.25">
      <c r="A8" s="212" t="s">
        <v>528</v>
      </c>
      <c r="B8" s="39" t="s">
        <v>52</v>
      </c>
      <c r="C8" s="373" t="s">
        <v>75</v>
      </c>
      <c r="D8" s="402" t="s">
        <v>977</v>
      </c>
      <c r="E8" s="254"/>
      <c r="F8" s="296"/>
      <c r="G8" s="159"/>
      <c r="H8" s="287" t="str">
        <f t="shared" si="2"/>
        <v>?</v>
      </c>
      <c r="I8" s="111"/>
      <c r="J8" s="344" t="s">
        <v>144</v>
      </c>
      <c r="K8" s="111"/>
      <c r="L8" s="344" t="s">
        <v>144</v>
      </c>
      <c r="M8" s="187"/>
      <c r="N8" s="111" t="s">
        <v>144</v>
      </c>
      <c r="O8" s="110"/>
      <c r="P8" s="111" t="s">
        <v>144</v>
      </c>
      <c r="Q8" s="110"/>
      <c r="R8" s="111" t="s">
        <v>144</v>
      </c>
      <c r="S8" s="110"/>
      <c r="T8" s="111" t="s">
        <v>144</v>
      </c>
      <c r="U8" s="110"/>
      <c r="V8" s="111" t="s">
        <v>144</v>
      </c>
      <c r="W8" s="111"/>
      <c r="X8" s="111"/>
      <c r="Y8" s="110"/>
      <c r="Z8" s="110"/>
      <c r="AA8" s="110"/>
      <c r="AB8" s="110"/>
      <c r="AC8" s="110"/>
      <c r="AD8" s="110"/>
    </row>
    <row r="9" spans="1:30" ht="25" x14ac:dyDescent="0.25">
      <c r="A9" s="212" t="s">
        <v>529</v>
      </c>
      <c r="B9" s="49" t="s">
        <v>52</v>
      </c>
      <c r="C9" s="373" t="s">
        <v>76</v>
      </c>
      <c r="D9" s="402" t="s">
        <v>978</v>
      </c>
      <c r="E9" s="254"/>
      <c r="F9" s="296"/>
      <c r="G9" s="158"/>
      <c r="H9" s="287" t="str">
        <f t="shared" si="2"/>
        <v>?</v>
      </c>
      <c r="I9" s="111"/>
      <c r="J9" s="343"/>
      <c r="K9" s="111"/>
      <c r="L9" s="343"/>
      <c r="M9" s="187"/>
      <c r="N9" s="110"/>
      <c r="O9" s="110"/>
      <c r="P9" s="111" t="s">
        <v>144</v>
      </c>
      <c r="Q9" s="110"/>
      <c r="R9" s="111" t="s">
        <v>144</v>
      </c>
      <c r="S9" s="110"/>
      <c r="T9" s="111" t="s">
        <v>144</v>
      </c>
      <c r="U9" s="110"/>
      <c r="V9" s="111" t="s">
        <v>144</v>
      </c>
      <c r="W9" s="111"/>
      <c r="X9" s="111"/>
      <c r="Y9" s="110"/>
      <c r="Z9" s="110"/>
      <c r="AA9" s="110"/>
      <c r="AB9" s="110"/>
      <c r="AC9" s="110"/>
      <c r="AD9" s="110"/>
    </row>
    <row r="10" spans="1:30" ht="25" x14ac:dyDescent="0.25">
      <c r="A10" s="212" t="s">
        <v>530</v>
      </c>
      <c r="B10" s="49" t="s">
        <v>52</v>
      </c>
      <c r="C10" s="373" t="s">
        <v>77</v>
      </c>
      <c r="D10" s="402" t="s">
        <v>979</v>
      </c>
      <c r="E10" s="254"/>
      <c r="F10" s="296"/>
      <c r="G10" s="158"/>
      <c r="H10" s="287" t="str">
        <f t="shared" si="2"/>
        <v>?</v>
      </c>
      <c r="I10" s="111"/>
      <c r="J10" s="343"/>
      <c r="K10" s="111"/>
      <c r="L10" s="343"/>
      <c r="M10" s="187"/>
      <c r="N10" s="110"/>
      <c r="O10" s="110"/>
      <c r="P10" s="111" t="s">
        <v>144</v>
      </c>
      <c r="Q10" s="110"/>
      <c r="R10" s="111" t="s">
        <v>144</v>
      </c>
      <c r="S10" s="110"/>
      <c r="T10" s="111" t="s">
        <v>144</v>
      </c>
      <c r="U10" s="110"/>
      <c r="V10" s="111" t="s">
        <v>144</v>
      </c>
      <c r="W10" s="111"/>
      <c r="X10" s="111"/>
      <c r="Y10" s="110"/>
      <c r="Z10" s="110"/>
      <c r="AA10" s="110"/>
      <c r="AB10" s="110"/>
      <c r="AC10" s="110"/>
      <c r="AD10" s="110"/>
    </row>
    <row r="11" spans="1:30" ht="50" x14ac:dyDescent="0.25">
      <c r="A11" s="212" t="s">
        <v>533</v>
      </c>
      <c r="B11" s="39" t="s">
        <v>52</v>
      </c>
      <c r="C11" s="373" t="s">
        <v>78</v>
      </c>
      <c r="D11" s="402" t="s">
        <v>980</v>
      </c>
      <c r="E11" s="254"/>
      <c r="F11" s="296"/>
      <c r="G11" s="158"/>
      <c r="H11" s="287" t="str">
        <f>HYPERLINK(CONCATENATE("http://garwiki.regn.net/mediawiki/index.php/Scorecard_Rule_",MID(A11,FIND(":",A11)+1,9)),"?")</f>
        <v>?</v>
      </c>
      <c r="I11" s="111"/>
      <c r="J11" s="111"/>
      <c r="K11" s="111"/>
      <c r="L11" s="344"/>
      <c r="M11" s="187"/>
      <c r="N11" s="111"/>
      <c r="O11" s="110"/>
      <c r="P11" s="111" t="s">
        <v>144</v>
      </c>
      <c r="Q11" s="110"/>
      <c r="R11" s="111" t="s">
        <v>144</v>
      </c>
      <c r="S11" s="110"/>
      <c r="T11" s="111" t="s">
        <v>144</v>
      </c>
      <c r="U11" s="110"/>
      <c r="V11" s="111" t="s">
        <v>144</v>
      </c>
      <c r="W11" s="111"/>
      <c r="X11" s="111"/>
      <c r="Y11" s="111"/>
      <c r="Z11" s="111"/>
      <c r="AA11" s="111"/>
      <c r="AB11" s="111"/>
      <c r="AC11" s="111"/>
      <c r="AD11" s="111"/>
    </row>
    <row r="12" spans="1:30" ht="62.5" x14ac:dyDescent="0.25">
      <c r="A12" s="212" t="s">
        <v>760</v>
      </c>
      <c r="B12" s="39" t="s">
        <v>52</v>
      </c>
      <c r="C12" s="373" t="s">
        <v>79</v>
      </c>
      <c r="D12" s="402" t="s">
        <v>759</v>
      </c>
      <c r="E12" s="254"/>
      <c r="F12" s="296"/>
      <c r="G12" s="158"/>
      <c r="H12" s="287" t="str">
        <f>HYPERLINK(CONCATENATE("http://garwiki.regn.net/mediawiki/index.php/Scorecard_Rule_",MID(A12,FIND(":",A12)+1,9)),"?")</f>
        <v>?</v>
      </c>
      <c r="I12" s="111"/>
      <c r="J12" s="111"/>
      <c r="K12" s="111"/>
      <c r="L12" s="344"/>
      <c r="M12" s="187"/>
      <c r="N12" s="111"/>
      <c r="O12" s="110"/>
      <c r="P12" s="111" t="s">
        <v>144</v>
      </c>
      <c r="Q12" s="110"/>
      <c r="R12" s="111" t="s">
        <v>144</v>
      </c>
      <c r="S12" s="110"/>
      <c r="T12" s="111" t="s">
        <v>144</v>
      </c>
      <c r="U12" s="110"/>
      <c r="V12" s="111" t="s">
        <v>144</v>
      </c>
      <c r="W12" s="111"/>
      <c r="X12" s="111"/>
      <c r="Y12" s="111"/>
      <c r="Z12" s="111"/>
      <c r="AA12" s="111"/>
      <c r="AB12" s="111"/>
      <c r="AC12" s="111"/>
      <c r="AD12" s="111"/>
    </row>
    <row r="13" spans="1:30" ht="62.5" x14ac:dyDescent="0.25">
      <c r="A13" s="212" t="s">
        <v>535</v>
      </c>
      <c r="B13" s="39" t="s">
        <v>52</v>
      </c>
      <c r="C13" s="373" t="s">
        <v>94</v>
      </c>
      <c r="D13" s="402" t="s">
        <v>981</v>
      </c>
      <c r="E13" s="254"/>
      <c r="F13" s="296"/>
      <c r="G13" s="158"/>
      <c r="H13" s="287" t="str">
        <f>HYPERLINK(CONCATENATE("http://garwiki.regn.net/mediawiki/index.php/Scorecard_Rule_",MID(A13,FIND(":",A13)+1,9)),"?")</f>
        <v>?</v>
      </c>
      <c r="I13" s="111"/>
      <c r="J13" s="111" t="s">
        <v>144</v>
      </c>
      <c r="K13" s="111"/>
      <c r="L13" s="344" t="s">
        <v>144</v>
      </c>
      <c r="M13" s="187"/>
      <c r="N13" s="111" t="s">
        <v>144</v>
      </c>
      <c r="O13" s="110"/>
      <c r="P13" s="111" t="s">
        <v>144</v>
      </c>
      <c r="Q13" s="110"/>
      <c r="R13" s="111" t="s">
        <v>144</v>
      </c>
      <c r="S13" s="110"/>
      <c r="T13" s="111" t="s">
        <v>144</v>
      </c>
      <c r="U13" s="110"/>
      <c r="V13" s="111" t="s">
        <v>144</v>
      </c>
      <c r="W13" s="111"/>
      <c r="X13" s="111"/>
      <c r="Y13" s="111"/>
      <c r="Z13" s="111"/>
      <c r="AA13" s="111"/>
      <c r="AB13" s="111"/>
      <c r="AC13" s="111"/>
      <c r="AD13" s="111"/>
    </row>
    <row r="14" spans="1:30" ht="50" x14ac:dyDescent="0.25">
      <c r="A14" s="212" t="s">
        <v>536</v>
      </c>
      <c r="B14" s="39" t="s">
        <v>52</v>
      </c>
      <c r="C14" s="373" t="s">
        <v>148</v>
      </c>
      <c r="D14" s="402" t="s">
        <v>982</v>
      </c>
      <c r="E14" s="254"/>
      <c r="F14" s="296"/>
      <c r="G14" s="158"/>
      <c r="H14" s="287" t="str">
        <f>HYPERLINK(CONCATENATE("http://garwiki.regn.net/mediawiki/index.php/Scorecard_Rule_",MID(A14,FIND(":",A14)+1,9)),"?")</f>
        <v>?</v>
      </c>
      <c r="I14" s="111"/>
      <c r="J14" s="111" t="s">
        <v>144</v>
      </c>
      <c r="K14" s="111"/>
      <c r="L14" s="344" t="s">
        <v>144</v>
      </c>
      <c r="M14" s="187"/>
      <c r="N14" s="111" t="s">
        <v>144</v>
      </c>
      <c r="O14" s="110"/>
      <c r="P14" s="111" t="s">
        <v>144</v>
      </c>
      <c r="Q14" s="110"/>
      <c r="R14" s="111" t="s">
        <v>144</v>
      </c>
      <c r="S14" s="110"/>
      <c r="T14" s="111" t="s">
        <v>144</v>
      </c>
      <c r="U14" s="110"/>
      <c r="V14" s="111" t="s">
        <v>144</v>
      </c>
      <c r="W14" s="111"/>
      <c r="X14" s="111"/>
      <c r="Y14" s="110"/>
      <c r="Z14" s="110"/>
      <c r="AA14" s="110"/>
      <c r="AB14" s="110"/>
      <c r="AC14" s="110"/>
      <c r="AD14" s="110"/>
    </row>
    <row r="15" spans="1:30" ht="50" x14ac:dyDescent="0.25">
      <c r="A15" s="212" t="s">
        <v>537</v>
      </c>
      <c r="B15" s="39" t="s">
        <v>52</v>
      </c>
      <c r="C15" s="373" t="s">
        <v>149</v>
      </c>
      <c r="D15" s="402" t="s">
        <v>983</v>
      </c>
      <c r="E15" s="254"/>
      <c r="F15" s="296"/>
      <c r="G15" s="158"/>
      <c r="H15" s="287" t="str">
        <f>HYPERLINK(CONCATENATE("http://garwiki.regn.net/mediawiki/index.php/Scorecard_Rule_",MID(A15,FIND(":",A15)+1,9)),"?")</f>
        <v>?</v>
      </c>
      <c r="I15" s="111"/>
      <c r="J15" s="110"/>
      <c r="K15" s="111"/>
      <c r="L15" s="343"/>
      <c r="M15" s="187"/>
      <c r="N15" s="110"/>
      <c r="O15" s="110"/>
      <c r="P15" s="111" t="s">
        <v>144</v>
      </c>
      <c r="Q15" s="110"/>
      <c r="R15" s="111" t="s">
        <v>144</v>
      </c>
      <c r="S15" s="110"/>
      <c r="T15" s="111" t="s">
        <v>144</v>
      </c>
      <c r="U15" s="110"/>
      <c r="V15" s="111" t="s">
        <v>144</v>
      </c>
      <c r="W15" s="111"/>
      <c r="X15" s="111"/>
      <c r="Y15" s="111"/>
      <c r="Z15" s="111"/>
      <c r="AA15" s="111"/>
      <c r="AB15" s="111"/>
      <c r="AC15" s="111"/>
      <c r="AD15" s="111"/>
    </row>
    <row r="16" spans="1:30" ht="50" x14ac:dyDescent="0.25">
      <c r="A16" s="212" t="s">
        <v>538</v>
      </c>
      <c r="B16" s="39" t="s">
        <v>52</v>
      </c>
      <c r="C16" s="373" t="s">
        <v>973</v>
      </c>
      <c r="D16" s="404" t="s">
        <v>984</v>
      </c>
      <c r="E16" s="254"/>
      <c r="F16" s="296"/>
      <c r="G16" s="158"/>
      <c r="H16" s="287" t="str">
        <f t="shared" ref="H16:H18" si="3">HYPERLINK(CONCATENATE("http://garwiki.regn.net/mediawiki/index.php/Scorecard_Rule_",MID(A16,FIND(":",A16)+1,9)),"?")</f>
        <v>?</v>
      </c>
      <c r="I16" s="111"/>
      <c r="J16" s="110"/>
      <c r="K16" s="111"/>
      <c r="L16" s="343"/>
      <c r="M16" s="187"/>
      <c r="N16" s="110"/>
      <c r="O16" s="110"/>
      <c r="P16" s="111" t="s">
        <v>144</v>
      </c>
      <c r="Q16" s="110"/>
      <c r="R16" s="111" t="s">
        <v>144</v>
      </c>
      <c r="S16" s="110"/>
      <c r="T16" s="111" t="s">
        <v>144</v>
      </c>
      <c r="U16" s="110"/>
      <c r="V16" s="111" t="s">
        <v>144</v>
      </c>
      <c r="W16" s="111"/>
      <c r="X16" s="111"/>
      <c r="Y16" s="111"/>
      <c r="Z16" s="111"/>
      <c r="AA16" s="111"/>
      <c r="AB16" s="111"/>
      <c r="AC16" s="111"/>
      <c r="AD16" s="111"/>
    </row>
    <row r="17" spans="1:30" ht="50" x14ac:dyDescent="0.25">
      <c r="A17" s="212" t="s">
        <v>761</v>
      </c>
      <c r="B17" s="39" t="s">
        <v>52</v>
      </c>
      <c r="C17" s="373" t="s">
        <v>974</v>
      </c>
      <c r="D17" s="401" t="s">
        <v>985</v>
      </c>
      <c r="E17" s="290"/>
      <c r="F17" s="301"/>
      <c r="G17" s="158"/>
      <c r="H17" s="287" t="str">
        <f t="shared" si="3"/>
        <v>?</v>
      </c>
      <c r="I17" s="111"/>
      <c r="J17" s="110"/>
      <c r="K17" s="111"/>
      <c r="L17" s="343"/>
      <c r="M17" s="187"/>
      <c r="N17" s="110"/>
      <c r="O17" s="110"/>
      <c r="P17" s="111" t="s">
        <v>144</v>
      </c>
      <c r="Q17" s="110"/>
      <c r="R17" s="111" t="s">
        <v>144</v>
      </c>
      <c r="S17" s="110"/>
      <c r="T17" s="111" t="s">
        <v>144</v>
      </c>
      <c r="U17" s="110"/>
      <c r="V17" s="111" t="s">
        <v>144</v>
      </c>
      <c r="W17" s="111"/>
      <c r="X17" s="111"/>
      <c r="Y17" s="111"/>
      <c r="Z17" s="111"/>
      <c r="AA17" s="111"/>
      <c r="AB17" s="111"/>
      <c r="AC17" s="111"/>
      <c r="AD17" s="111"/>
    </row>
    <row r="18" spans="1:30" ht="50" x14ac:dyDescent="0.25">
      <c r="A18" s="212" t="s">
        <v>762</v>
      </c>
      <c r="B18" s="39" t="s">
        <v>52</v>
      </c>
      <c r="C18" s="373" t="s">
        <v>975</v>
      </c>
      <c r="D18" s="401" t="s">
        <v>991</v>
      </c>
      <c r="E18" s="290"/>
      <c r="F18" s="301"/>
      <c r="G18" s="158"/>
      <c r="H18" s="287" t="str">
        <f t="shared" si="3"/>
        <v>?</v>
      </c>
      <c r="I18" s="111"/>
      <c r="J18" s="110"/>
      <c r="K18" s="111"/>
      <c r="L18" s="343"/>
      <c r="M18" s="187"/>
      <c r="N18" s="110"/>
      <c r="O18" s="110"/>
      <c r="P18" s="111" t="s">
        <v>144</v>
      </c>
      <c r="Q18" s="110"/>
      <c r="R18" s="111" t="s">
        <v>144</v>
      </c>
      <c r="S18" s="110"/>
      <c r="T18" s="111" t="s">
        <v>144</v>
      </c>
      <c r="U18" s="110"/>
      <c r="V18" s="111" t="s">
        <v>144</v>
      </c>
      <c r="W18" s="111"/>
      <c r="X18" s="111"/>
      <c r="Y18" s="111"/>
      <c r="Z18" s="111"/>
      <c r="AA18" s="111"/>
      <c r="AB18" s="111"/>
      <c r="AC18" s="111"/>
      <c r="AD18" s="111"/>
    </row>
    <row r="19" spans="1:30" ht="13" x14ac:dyDescent="0.25">
      <c r="A19" s="212" t="s">
        <v>1100</v>
      </c>
      <c r="B19" s="141"/>
      <c r="C19" s="138" t="s">
        <v>348</v>
      </c>
      <c r="D19" s="611" t="s">
        <v>1198</v>
      </c>
      <c r="E19" s="567"/>
      <c r="F19" s="567"/>
      <c r="G19" s="612"/>
      <c r="H19" s="287" t="str">
        <f>HYPERLINK(CONCATENATE("http://garwiki.regn.net/mediawiki/index.php/",SUBSTITUTE(D19," ","_"),"_(golden_rule)"),"?")</f>
        <v>?</v>
      </c>
      <c r="I19" s="188" t="str">
        <f>I20</f>
        <v/>
      </c>
      <c r="J19" s="188" t="str">
        <f t="shared" ref="J19:AD19" si="4">J20</f>
        <v/>
      </c>
      <c r="K19" s="188" t="str">
        <f>K20</f>
        <v/>
      </c>
      <c r="L19" s="188" t="str">
        <f t="shared" si="4"/>
        <v>x</v>
      </c>
      <c r="M19" s="188" t="str">
        <f t="shared" si="4"/>
        <v/>
      </c>
      <c r="N19" s="188" t="str">
        <f t="shared" si="4"/>
        <v>x</v>
      </c>
      <c r="O19" s="188" t="str">
        <f t="shared" si="4"/>
        <v/>
      </c>
      <c r="P19" s="188" t="str">
        <f t="shared" si="4"/>
        <v/>
      </c>
      <c r="Q19" s="188" t="str">
        <f t="shared" si="4"/>
        <v/>
      </c>
      <c r="R19" s="188" t="str">
        <f t="shared" si="4"/>
        <v/>
      </c>
      <c r="S19" s="188" t="str">
        <f t="shared" si="4"/>
        <v/>
      </c>
      <c r="T19" s="188" t="str">
        <f t="shared" si="4"/>
        <v/>
      </c>
      <c r="U19" s="188" t="str">
        <f t="shared" si="4"/>
        <v/>
      </c>
      <c r="V19" s="188" t="str">
        <f t="shared" si="4"/>
        <v/>
      </c>
      <c r="W19" s="188" t="str">
        <f t="shared" si="4"/>
        <v/>
      </c>
      <c r="X19" s="188" t="str">
        <f t="shared" si="4"/>
        <v/>
      </c>
      <c r="Y19" s="188" t="str">
        <f t="shared" si="4"/>
        <v/>
      </c>
      <c r="Z19" s="188" t="str">
        <f t="shared" si="4"/>
        <v/>
      </c>
      <c r="AA19" s="188" t="str">
        <f t="shared" si="4"/>
        <v/>
      </c>
      <c r="AB19" s="188" t="str">
        <f t="shared" si="4"/>
        <v/>
      </c>
      <c r="AC19" s="188" t="str">
        <f t="shared" si="4"/>
        <v/>
      </c>
      <c r="AD19" s="188" t="str">
        <f t="shared" si="4"/>
        <v/>
      </c>
    </row>
    <row r="20" spans="1:30" ht="34.5" customHeight="1" x14ac:dyDescent="0.25">
      <c r="A20" s="212"/>
      <c r="B20" s="569" t="s">
        <v>1198</v>
      </c>
      <c r="C20" s="570"/>
      <c r="D20" s="571"/>
      <c r="E20" s="179"/>
      <c r="F20" s="305" t="s">
        <v>31</v>
      </c>
      <c r="G20" s="151"/>
      <c r="H20" s="287"/>
      <c r="I20" s="111" t="str">
        <f>IF(COUNTIF(I21:I22,"x")=0,"","x")</f>
        <v/>
      </c>
      <c r="J20" s="111" t="str">
        <f t="shared" ref="J20:AD20" si="5">IF(COUNTIF(J21:J22,"x")=0,"","x")</f>
        <v/>
      </c>
      <c r="K20" s="111" t="str">
        <f t="shared" si="5"/>
        <v/>
      </c>
      <c r="L20" s="111" t="str">
        <f t="shared" si="5"/>
        <v>x</v>
      </c>
      <c r="M20" s="111" t="str">
        <f t="shared" si="5"/>
        <v/>
      </c>
      <c r="N20" s="111" t="str">
        <f t="shared" si="5"/>
        <v>x</v>
      </c>
      <c r="O20" s="111" t="str">
        <f t="shared" si="5"/>
        <v/>
      </c>
      <c r="P20" s="111" t="str">
        <f t="shared" si="5"/>
        <v/>
      </c>
      <c r="Q20" s="111" t="str">
        <f t="shared" si="5"/>
        <v/>
      </c>
      <c r="R20" s="111" t="str">
        <f t="shared" si="5"/>
        <v/>
      </c>
      <c r="S20" s="111" t="str">
        <f t="shared" si="5"/>
        <v/>
      </c>
      <c r="T20" s="111" t="str">
        <f t="shared" si="5"/>
        <v/>
      </c>
      <c r="U20" s="111" t="str">
        <f t="shared" si="5"/>
        <v/>
      </c>
      <c r="V20" s="111" t="str">
        <f t="shared" si="5"/>
        <v/>
      </c>
      <c r="W20" s="111" t="str">
        <f t="shared" si="5"/>
        <v/>
      </c>
      <c r="X20" s="111" t="str">
        <f t="shared" si="5"/>
        <v/>
      </c>
      <c r="Y20" s="111" t="str">
        <f t="shared" si="5"/>
        <v/>
      </c>
      <c r="Z20" s="111" t="str">
        <f t="shared" si="5"/>
        <v/>
      </c>
      <c r="AA20" s="111" t="str">
        <f t="shared" si="5"/>
        <v/>
      </c>
      <c r="AB20" s="111" t="str">
        <f t="shared" si="5"/>
        <v/>
      </c>
      <c r="AC20" s="111" t="str">
        <f t="shared" si="5"/>
        <v/>
      </c>
      <c r="AD20" s="111" t="str">
        <f t="shared" si="5"/>
        <v/>
      </c>
    </row>
    <row r="21" spans="1:30" ht="75" x14ac:dyDescent="0.25">
      <c r="A21" s="212" t="s">
        <v>531</v>
      </c>
      <c r="B21" s="49" t="s">
        <v>52</v>
      </c>
      <c r="C21" s="373" t="s">
        <v>80</v>
      </c>
      <c r="D21" s="402" t="s">
        <v>986</v>
      </c>
      <c r="E21" s="254"/>
      <c r="F21" s="296"/>
      <c r="G21" s="158"/>
      <c r="H21" s="287" t="str">
        <f>HYPERLINK(CONCATENATE("http://garwiki.regn.net/mediawiki/index.php/Scorecard_Rule_",MID(A21,FIND(":",A21)+1,9)),"?")</f>
        <v>?</v>
      </c>
      <c r="I21" s="111"/>
      <c r="J21" s="344"/>
      <c r="K21" s="111"/>
      <c r="L21" s="344" t="s">
        <v>144</v>
      </c>
      <c r="M21" s="187"/>
      <c r="N21" s="111" t="s">
        <v>144</v>
      </c>
      <c r="O21" s="110"/>
      <c r="P21" s="110"/>
      <c r="Q21" s="110"/>
      <c r="R21" s="110"/>
      <c r="S21" s="110"/>
      <c r="T21" s="110"/>
      <c r="U21" s="110"/>
      <c r="V21" s="110"/>
      <c r="W21" s="110"/>
      <c r="X21" s="110"/>
      <c r="Y21" s="110"/>
      <c r="Z21" s="110"/>
      <c r="AA21" s="110"/>
      <c r="AB21" s="110"/>
      <c r="AC21" s="110"/>
      <c r="AD21" s="110"/>
    </row>
    <row r="22" spans="1:30" ht="50" x14ac:dyDescent="0.25">
      <c r="A22" s="212" t="s">
        <v>532</v>
      </c>
      <c r="B22" s="49" t="s">
        <v>52</v>
      </c>
      <c r="C22" s="373" t="s">
        <v>81</v>
      </c>
      <c r="D22" s="402" t="s">
        <v>457</v>
      </c>
      <c r="E22" s="254"/>
      <c r="F22" s="296"/>
      <c r="G22" s="158"/>
      <c r="H22" s="287" t="str">
        <f>HYPERLINK(CONCATENATE("http://garwiki.regn.net/mediawiki/index.php/Scorecard_Rule_",MID(A22,FIND(":",A22)+1,9)),"?")</f>
        <v>?</v>
      </c>
      <c r="I22" s="111"/>
      <c r="J22" s="344"/>
      <c r="K22" s="111"/>
      <c r="L22" s="344" t="s">
        <v>144</v>
      </c>
      <c r="M22" s="187"/>
      <c r="N22" s="111" t="s">
        <v>144</v>
      </c>
      <c r="O22" s="110"/>
      <c r="P22" s="110"/>
      <c r="Q22" s="110"/>
      <c r="R22" s="110"/>
      <c r="S22" s="110"/>
      <c r="T22" s="110"/>
      <c r="U22" s="110"/>
      <c r="V22" s="110"/>
      <c r="W22" s="110"/>
      <c r="X22" s="110"/>
      <c r="Y22" s="110"/>
      <c r="Z22" s="110"/>
      <c r="AA22" s="110"/>
      <c r="AB22" s="110"/>
      <c r="AC22" s="110"/>
      <c r="AD22" s="110"/>
    </row>
    <row r="23" spans="1:30" ht="13" x14ac:dyDescent="0.25">
      <c r="A23" s="212" t="s">
        <v>539</v>
      </c>
      <c r="B23" s="141" t="s">
        <v>143</v>
      </c>
      <c r="C23" s="138">
        <v>10.3</v>
      </c>
      <c r="D23" s="566" t="s">
        <v>1199</v>
      </c>
      <c r="E23" s="567"/>
      <c r="F23" s="567"/>
      <c r="G23" s="568"/>
      <c r="H23" s="287" t="str">
        <f>HYPERLINK(CONCATENATE("http://garwiki.regn.net/mediawiki/index.php/",SUBSTITUTE(D23," ","_"),"_(golden_rule)"),"?")</f>
        <v>?</v>
      </c>
      <c r="I23" s="188" t="str">
        <f>I24</f>
        <v/>
      </c>
      <c r="J23" s="188" t="str">
        <f t="shared" ref="J23:AD23" si="6">J24</f>
        <v/>
      </c>
      <c r="K23" s="188" t="str">
        <f>K24</f>
        <v/>
      </c>
      <c r="L23" s="188" t="str">
        <f t="shared" si="6"/>
        <v>x</v>
      </c>
      <c r="M23" s="188" t="str">
        <f t="shared" si="6"/>
        <v/>
      </c>
      <c r="N23" s="188" t="str">
        <f t="shared" si="6"/>
        <v>x</v>
      </c>
      <c r="O23" s="188" t="str">
        <f t="shared" si="6"/>
        <v/>
      </c>
      <c r="P23" s="188" t="str">
        <f t="shared" si="6"/>
        <v>x</v>
      </c>
      <c r="Q23" s="188" t="str">
        <f t="shared" si="6"/>
        <v/>
      </c>
      <c r="R23" s="188" t="str">
        <f t="shared" si="6"/>
        <v>x</v>
      </c>
      <c r="S23" s="188" t="str">
        <f t="shared" si="6"/>
        <v/>
      </c>
      <c r="T23" s="188" t="str">
        <f t="shared" si="6"/>
        <v>x</v>
      </c>
      <c r="U23" s="188" t="str">
        <f t="shared" si="6"/>
        <v/>
      </c>
      <c r="V23" s="188" t="str">
        <f t="shared" si="6"/>
        <v>x</v>
      </c>
      <c r="W23" s="188" t="str">
        <f t="shared" si="6"/>
        <v/>
      </c>
      <c r="X23" s="188" t="str">
        <f t="shared" si="6"/>
        <v/>
      </c>
      <c r="Y23" s="188" t="str">
        <f t="shared" si="6"/>
        <v/>
      </c>
      <c r="Z23" s="188" t="str">
        <f t="shared" si="6"/>
        <v/>
      </c>
      <c r="AA23" s="188" t="str">
        <f t="shared" si="6"/>
        <v/>
      </c>
      <c r="AB23" s="188" t="str">
        <f t="shared" si="6"/>
        <v/>
      </c>
      <c r="AC23" s="188" t="str">
        <f t="shared" si="6"/>
        <v/>
      </c>
      <c r="AD23" s="188" t="str">
        <f t="shared" si="6"/>
        <v/>
      </c>
    </row>
    <row r="24" spans="1:30" x14ac:dyDescent="0.25">
      <c r="A24" s="212"/>
      <c r="B24" s="569" t="s">
        <v>1199</v>
      </c>
      <c r="C24" s="572"/>
      <c r="D24" s="573"/>
      <c r="E24" s="179"/>
      <c r="F24" s="305" t="s">
        <v>31</v>
      </c>
      <c r="G24" s="151"/>
      <c r="H24" s="287"/>
      <c r="I24" s="111" t="str">
        <f>IF(COUNTIF(I25:I31,"x")=0,"","x")</f>
        <v/>
      </c>
      <c r="J24" s="111" t="str">
        <f t="shared" ref="J24:AD24" si="7">IF(COUNTIF(J25:J31,"x")=0,"","x")</f>
        <v/>
      </c>
      <c r="K24" s="111" t="str">
        <f t="shared" si="7"/>
        <v/>
      </c>
      <c r="L24" s="111" t="str">
        <f t="shared" si="7"/>
        <v>x</v>
      </c>
      <c r="M24" s="111" t="str">
        <f t="shared" si="7"/>
        <v/>
      </c>
      <c r="N24" s="111" t="str">
        <f t="shared" si="7"/>
        <v>x</v>
      </c>
      <c r="O24" s="111" t="str">
        <f t="shared" si="7"/>
        <v/>
      </c>
      <c r="P24" s="111" t="str">
        <f t="shared" si="7"/>
        <v>x</v>
      </c>
      <c r="Q24" s="111" t="str">
        <f t="shared" si="7"/>
        <v/>
      </c>
      <c r="R24" s="111" t="str">
        <f t="shared" si="7"/>
        <v>x</v>
      </c>
      <c r="S24" s="111" t="str">
        <f t="shared" si="7"/>
        <v/>
      </c>
      <c r="T24" s="111" t="str">
        <f t="shared" si="7"/>
        <v>x</v>
      </c>
      <c r="U24" s="111" t="str">
        <f t="shared" si="7"/>
        <v/>
      </c>
      <c r="V24" s="111" t="str">
        <f t="shared" si="7"/>
        <v>x</v>
      </c>
      <c r="W24" s="111" t="str">
        <f t="shared" si="7"/>
        <v/>
      </c>
      <c r="X24" s="111" t="str">
        <f t="shared" si="7"/>
        <v/>
      </c>
      <c r="Y24" s="111" t="str">
        <f t="shared" si="7"/>
        <v/>
      </c>
      <c r="Z24" s="111" t="str">
        <f t="shared" si="7"/>
        <v/>
      </c>
      <c r="AA24" s="111" t="str">
        <f t="shared" si="7"/>
        <v/>
      </c>
      <c r="AB24" s="111" t="str">
        <f t="shared" si="7"/>
        <v/>
      </c>
      <c r="AC24" s="111" t="str">
        <f t="shared" si="7"/>
        <v/>
      </c>
      <c r="AD24" s="111" t="str">
        <f t="shared" si="7"/>
        <v/>
      </c>
    </row>
    <row r="25" spans="1:30" ht="50" x14ac:dyDescent="0.25">
      <c r="A25" s="212" t="s">
        <v>763</v>
      </c>
      <c r="B25" s="39" t="s">
        <v>52</v>
      </c>
      <c r="C25" s="373" t="s">
        <v>82</v>
      </c>
      <c r="D25" s="402" t="s">
        <v>987</v>
      </c>
      <c r="E25" s="254"/>
      <c r="F25" s="296"/>
      <c r="G25" s="158"/>
      <c r="H25" s="287" t="str">
        <f t="shared" ref="H25:H29" si="8">HYPERLINK(CONCATENATE("http://garwiki.regn.net/mediawiki/index.php/Scorecard_Rule_",MID(A25,FIND(":",A25)+1,9)),"?")</f>
        <v>?</v>
      </c>
      <c r="I25" s="111"/>
      <c r="J25" s="111"/>
      <c r="K25" s="111"/>
      <c r="L25" s="111" t="s">
        <v>144</v>
      </c>
      <c r="M25" s="189"/>
      <c r="N25" s="111" t="s">
        <v>144</v>
      </c>
      <c r="O25" s="110"/>
      <c r="P25" s="111" t="s">
        <v>144</v>
      </c>
      <c r="Q25" s="110"/>
      <c r="R25" s="111" t="s">
        <v>144</v>
      </c>
      <c r="S25" s="110"/>
      <c r="T25" s="111" t="s">
        <v>144</v>
      </c>
      <c r="U25" s="110"/>
      <c r="V25" s="111" t="s">
        <v>144</v>
      </c>
      <c r="W25" s="111"/>
      <c r="X25" s="111"/>
      <c r="Y25" s="110"/>
      <c r="Z25" s="110"/>
      <c r="AA25" s="110"/>
      <c r="AB25" s="110"/>
      <c r="AC25" s="110"/>
      <c r="AD25" s="110"/>
    </row>
    <row r="26" spans="1:30" ht="50" x14ac:dyDescent="0.25">
      <c r="A26" s="212" t="s">
        <v>540</v>
      </c>
      <c r="B26" s="39" t="s">
        <v>52</v>
      </c>
      <c r="C26" s="373" t="s">
        <v>83</v>
      </c>
      <c r="D26" s="402" t="s">
        <v>642</v>
      </c>
      <c r="E26" s="254"/>
      <c r="F26" s="296"/>
      <c r="G26" s="158"/>
      <c r="H26" s="287" t="str">
        <f t="shared" si="8"/>
        <v>?</v>
      </c>
      <c r="I26" s="111"/>
      <c r="J26" s="111"/>
      <c r="K26" s="111"/>
      <c r="L26" s="111" t="s">
        <v>144</v>
      </c>
      <c r="M26" s="189"/>
      <c r="N26" s="111" t="s">
        <v>144</v>
      </c>
      <c r="O26" s="110"/>
      <c r="P26" s="110"/>
      <c r="Q26" s="110"/>
      <c r="R26" s="110"/>
      <c r="S26" s="110"/>
      <c r="T26" s="110"/>
      <c r="U26" s="110"/>
      <c r="V26" s="110"/>
      <c r="W26" s="110"/>
      <c r="X26" s="110"/>
      <c r="Y26" s="110"/>
      <c r="Z26" s="110"/>
      <c r="AA26" s="110"/>
      <c r="AB26" s="110"/>
      <c r="AC26" s="110"/>
      <c r="AD26" s="110"/>
    </row>
    <row r="27" spans="1:30" ht="37.5" x14ac:dyDescent="0.25">
      <c r="A27" s="212" t="s">
        <v>541</v>
      </c>
      <c r="B27" s="39" t="s">
        <v>52</v>
      </c>
      <c r="C27" s="373" t="s">
        <v>84</v>
      </c>
      <c r="D27" s="402" t="s">
        <v>643</v>
      </c>
      <c r="E27" s="254"/>
      <c r="F27" s="296"/>
      <c r="G27" s="158"/>
      <c r="H27" s="287" t="str">
        <f t="shared" si="8"/>
        <v>?</v>
      </c>
      <c r="I27" s="111"/>
      <c r="J27" s="111"/>
      <c r="K27" s="111"/>
      <c r="L27" s="111" t="s">
        <v>144</v>
      </c>
      <c r="M27" s="187"/>
      <c r="N27" s="111" t="s">
        <v>144</v>
      </c>
      <c r="O27" s="110"/>
      <c r="P27" s="110"/>
      <c r="Q27" s="110"/>
      <c r="R27" s="110"/>
      <c r="S27" s="110"/>
      <c r="T27" s="110"/>
      <c r="U27" s="110"/>
      <c r="V27" s="110"/>
      <c r="W27" s="110"/>
      <c r="X27" s="110"/>
      <c r="Y27" s="110"/>
      <c r="Z27" s="110"/>
      <c r="AA27" s="110"/>
      <c r="AB27" s="110"/>
      <c r="AC27" s="110"/>
      <c r="AD27" s="110"/>
    </row>
    <row r="28" spans="1:30" ht="50" x14ac:dyDescent="0.25">
      <c r="A28" s="212" t="s">
        <v>542</v>
      </c>
      <c r="B28" s="49" t="s">
        <v>52</v>
      </c>
      <c r="C28" s="373" t="s">
        <v>85</v>
      </c>
      <c r="D28" s="402" t="s">
        <v>666</v>
      </c>
      <c r="E28" s="254"/>
      <c r="F28" s="296"/>
      <c r="G28" s="159"/>
      <c r="H28" s="287" t="str">
        <f t="shared" si="8"/>
        <v>?</v>
      </c>
      <c r="I28" s="111"/>
      <c r="J28" s="111"/>
      <c r="K28" s="111"/>
      <c r="L28" s="111" t="s">
        <v>144</v>
      </c>
      <c r="M28" s="187"/>
      <c r="N28" s="111" t="s">
        <v>144</v>
      </c>
      <c r="O28" s="110"/>
      <c r="P28" s="110"/>
      <c r="Q28" s="110"/>
      <c r="R28" s="110"/>
      <c r="S28" s="110"/>
      <c r="T28" s="110"/>
      <c r="U28" s="110"/>
      <c r="V28" s="110"/>
      <c r="W28" s="110"/>
      <c r="X28" s="110"/>
      <c r="Y28" s="110"/>
      <c r="Z28" s="110"/>
      <c r="AA28" s="110"/>
      <c r="AB28" s="110"/>
      <c r="AC28" s="110"/>
      <c r="AD28" s="110"/>
    </row>
    <row r="29" spans="1:30" ht="25" x14ac:dyDescent="0.25">
      <c r="A29" s="212" t="s">
        <v>543</v>
      </c>
      <c r="B29" s="49" t="s">
        <v>52</v>
      </c>
      <c r="C29" s="373" t="s">
        <v>86</v>
      </c>
      <c r="D29" s="402" t="s">
        <v>644</v>
      </c>
      <c r="E29" s="254"/>
      <c r="F29" s="296"/>
      <c r="G29" s="158"/>
      <c r="H29" s="287" t="str">
        <f t="shared" si="8"/>
        <v>?</v>
      </c>
      <c r="I29" s="111"/>
      <c r="J29" s="111"/>
      <c r="K29" s="111"/>
      <c r="L29" s="111" t="s">
        <v>144</v>
      </c>
      <c r="M29" s="190"/>
      <c r="N29" s="111" t="s">
        <v>144</v>
      </c>
      <c r="O29" s="110"/>
      <c r="P29" s="110"/>
      <c r="Q29" s="110"/>
      <c r="R29" s="110"/>
      <c r="S29" s="110"/>
      <c r="T29" s="110"/>
      <c r="U29" s="110"/>
      <c r="V29" s="110"/>
      <c r="W29" s="110"/>
      <c r="X29" s="110"/>
      <c r="Y29" s="110"/>
      <c r="Z29" s="110"/>
      <c r="AA29" s="110"/>
      <c r="AB29" s="110"/>
      <c r="AC29" s="110"/>
      <c r="AD29" s="110"/>
    </row>
    <row r="30" spans="1:30" ht="37.5" x14ac:dyDescent="0.25">
      <c r="A30" s="212" t="s">
        <v>764</v>
      </c>
      <c r="B30" s="39" t="s">
        <v>52</v>
      </c>
      <c r="C30" s="373" t="s">
        <v>87</v>
      </c>
      <c r="D30" s="402" t="s">
        <v>794</v>
      </c>
      <c r="E30" s="403"/>
      <c r="F30" s="352"/>
      <c r="G30" s="406"/>
      <c r="H30" s="287" t="str">
        <f>HYPERLINK(CONCATENATE("http://garwiki.regn.net/mediawiki/index.php/Scorecard_Rule_",MID(A30,FIND(":",A30)+1,9)),"?")</f>
        <v>?</v>
      </c>
      <c r="I30" s="111"/>
      <c r="J30" s="111"/>
      <c r="K30" s="111"/>
      <c r="L30" s="344" t="s">
        <v>144</v>
      </c>
      <c r="M30" s="187"/>
      <c r="N30" s="111" t="s">
        <v>144</v>
      </c>
      <c r="O30" s="110"/>
      <c r="P30" s="110"/>
      <c r="Q30" s="110"/>
      <c r="R30" s="110"/>
      <c r="S30" s="110"/>
      <c r="T30" s="110"/>
      <c r="U30" s="110"/>
      <c r="V30" s="110"/>
      <c r="W30" s="110"/>
      <c r="X30" s="110"/>
      <c r="Y30" s="110"/>
      <c r="Z30" s="110"/>
      <c r="AA30" s="110"/>
      <c r="AB30" s="110"/>
      <c r="AC30" s="110"/>
      <c r="AD30" s="110"/>
    </row>
    <row r="31" spans="1:30" ht="37.5" x14ac:dyDescent="0.25">
      <c r="A31" s="212" t="s">
        <v>534</v>
      </c>
      <c r="B31" s="39" t="s">
        <v>52</v>
      </c>
      <c r="C31" s="373" t="s">
        <v>765</v>
      </c>
      <c r="D31" s="405" t="s">
        <v>988</v>
      </c>
      <c r="E31" s="254"/>
      <c r="F31" s="296"/>
      <c r="G31" s="158"/>
      <c r="H31" s="287" t="str">
        <f>HYPERLINK(CONCATENATE("http://garwiki.regn.net/mediawiki/index.php/Scorecard_Rule_",MID(A31,FIND(":",A31)+1,9)),"?")</f>
        <v>?</v>
      </c>
      <c r="I31" s="111"/>
      <c r="J31" s="111"/>
      <c r="K31" s="111"/>
      <c r="L31" s="344" t="s">
        <v>144</v>
      </c>
      <c r="M31" s="187"/>
      <c r="N31" s="111" t="s">
        <v>144</v>
      </c>
      <c r="O31" s="110"/>
      <c r="P31" s="111"/>
      <c r="Q31" s="110"/>
      <c r="R31" s="111" t="s">
        <v>144</v>
      </c>
      <c r="S31" s="110"/>
      <c r="T31" s="111" t="s">
        <v>144</v>
      </c>
      <c r="U31" s="110"/>
      <c r="V31" s="111" t="s">
        <v>144</v>
      </c>
      <c r="W31" s="111"/>
      <c r="X31" s="111"/>
      <c r="Y31" s="110"/>
      <c r="Z31" s="110"/>
      <c r="AA31" s="110"/>
      <c r="AB31" s="110"/>
      <c r="AC31" s="110"/>
      <c r="AD31" s="110"/>
    </row>
  </sheetData>
  <sheetProtection formatColumns="0" formatRows="0"/>
  <mergeCells count="19">
    <mergeCell ref="B24:D24"/>
    <mergeCell ref="I2:J2"/>
    <mergeCell ref="D5:G5"/>
    <mergeCell ref="D23:G23"/>
    <mergeCell ref="B6:D6"/>
    <mergeCell ref="D19:G19"/>
    <mergeCell ref="B20:D20"/>
    <mergeCell ref="AC2:AD2"/>
    <mergeCell ref="U2:V2"/>
    <mergeCell ref="D1:G1"/>
    <mergeCell ref="B2:D2"/>
    <mergeCell ref="O2:P2"/>
    <mergeCell ref="Q2:R2"/>
    <mergeCell ref="S2:T2"/>
    <mergeCell ref="M2:N2"/>
    <mergeCell ref="W2:X2"/>
    <mergeCell ref="K2:L2"/>
    <mergeCell ref="AA2:AB2"/>
    <mergeCell ref="Y2:Z2"/>
  </mergeCells>
  <phoneticPr fontId="2" type="noConversion"/>
  <conditionalFormatting sqref="E2">
    <cfRule type="cellIs" dxfId="28" priority="48" stopIfTrue="1" operator="equal">
      <formula>"Yes-N/A"</formula>
    </cfRule>
    <cfRule type="cellIs" dxfId="27" priority="49" stopIfTrue="1" operator="equal">
      <formula>"P-WVR"</formula>
    </cfRule>
    <cfRule type="cellIs" dxfId="26" priority="50" stopIfTrue="1" operator="equal">
      <formula>"No"</formula>
    </cfRule>
    <cfRule type="cellIs" dxfId="25" priority="51" stopIfTrue="1" operator="equal">
      <formula>"Yes"</formula>
    </cfRule>
    <cfRule type="cellIs" dxfId="24" priority="52" stopIfTrue="1" operator="equal">
      <formula>"WVR"</formula>
    </cfRule>
    <cfRule type="cellIs" dxfId="23" priority="53" stopIfTrue="1" operator="equal">
      <formula>"T-WVR"</formula>
    </cfRule>
    <cfRule type="cellIs" dxfId="22" priority="54" stopIfTrue="1" operator="equal">
      <formula>"R"</formula>
    </cfRule>
    <cfRule type="cellIs" dxfId="21" priority="55" stopIfTrue="1" operator="equal">
      <formula>"Y"</formula>
    </cfRule>
    <cfRule type="cellIs" dxfId="20" priority="56" stopIfTrue="1" operator="equal">
      <formula>"G"</formula>
    </cfRule>
  </conditionalFormatting>
  <conditionalFormatting sqref="E6:E18 E21:E31">
    <cfRule type="cellIs" dxfId="19" priority="11" stopIfTrue="1" operator="equal">
      <formula>"N/A"</formula>
    </cfRule>
    <cfRule type="cellIs" dxfId="18" priority="39" stopIfTrue="1" operator="equal">
      <formula>"Yes-N/A"</formula>
    </cfRule>
    <cfRule type="cellIs" dxfId="17" priority="40" stopIfTrue="1" operator="equal">
      <formula>"P-WVR"</formula>
    </cfRule>
    <cfRule type="cellIs" dxfId="16" priority="41" stopIfTrue="1" operator="equal">
      <formula>"No"</formula>
    </cfRule>
    <cfRule type="cellIs" dxfId="15" priority="42" stopIfTrue="1" operator="equal">
      <formula>"Yes"</formula>
    </cfRule>
    <cfRule type="cellIs" dxfId="14" priority="43" stopIfTrue="1" operator="equal">
      <formula>"WVR"</formula>
    </cfRule>
    <cfRule type="cellIs" dxfId="13" priority="44" stopIfTrue="1" operator="equal">
      <formula>"T-WVR"</formula>
    </cfRule>
    <cfRule type="cellIs" dxfId="12" priority="45" stopIfTrue="1" operator="equal">
      <formula>"R"</formula>
    </cfRule>
    <cfRule type="cellIs" dxfId="11" priority="46" stopIfTrue="1" operator="equal">
      <formula>"Y"</formula>
    </cfRule>
    <cfRule type="cellIs" dxfId="10" priority="47" stopIfTrue="1" operator="equal">
      <formula>"G"</formula>
    </cfRule>
  </conditionalFormatting>
  <conditionalFormatting sqref="E19:E20">
    <cfRule type="cellIs" dxfId="9" priority="1" stopIfTrue="1" operator="equal">
      <formula>"N/A"</formula>
    </cfRule>
    <cfRule type="cellIs" dxfId="8" priority="2" stopIfTrue="1" operator="equal">
      <formula>"Yes-N/A"</formula>
    </cfRule>
    <cfRule type="cellIs" dxfId="7" priority="3" stopIfTrue="1" operator="equal">
      <formula>"P-WVR"</formula>
    </cfRule>
    <cfRule type="cellIs" dxfId="6" priority="4" stopIfTrue="1" operator="equal">
      <formula>"No"</formula>
    </cfRule>
    <cfRule type="cellIs" dxfId="5" priority="5" stopIfTrue="1" operator="equal">
      <formula>"Yes"</formula>
    </cfRule>
    <cfRule type="cellIs" dxfId="4" priority="6" stopIfTrue="1" operator="equal">
      <formula>"WVR"</formula>
    </cfRule>
    <cfRule type="cellIs" dxfId="3" priority="7" stopIfTrue="1" operator="equal">
      <formula>"T-WVR"</formula>
    </cfRule>
    <cfRule type="cellIs" dxfId="2" priority="8" stopIfTrue="1" operator="equal">
      <formula>"R"</formula>
    </cfRule>
    <cfRule type="cellIs" dxfId="1" priority="9" stopIfTrue="1" operator="equal">
      <formula>"Y"</formula>
    </cfRule>
    <cfRule type="cellIs" dxfId="0" priority="10" stopIfTrue="1" operator="equal">
      <formula>"G"</formula>
    </cfRule>
  </conditionalFormatting>
  <dataValidations count="4">
    <dataValidation type="list" allowBlank="1" showInputMessage="1" showErrorMessage="1" sqref="E25:E31 E7:E18 E21:E22">
      <formula1>ValidValues</formula1>
    </dataValidation>
    <dataValidation type="list" allowBlank="1" showInputMessage="1" showErrorMessage="1" sqref="E6 E24 E20">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31">
      <formula1>1</formula1>
      <formula2>10000</formula2>
    </dataValidation>
  </dataValidations>
  <pageMargins left="0.7" right="0.7" top="0.75" bottom="0.75" header="0.3" footer="0.3"/>
  <pageSetup scale="97" fitToHeight="100" orientation="landscape" r:id="rId1"/>
  <headerFooter alignWithMargins="0">
    <oddHeader>&amp;L&amp;F&amp;C&amp;A&amp;R&amp;D</oddHeader>
    <oddFooter>&amp;C&amp;P of &amp;N</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autoPageBreaks="0" fitToPage="1"/>
  </sheetPr>
  <dimension ref="A1:P22"/>
  <sheetViews>
    <sheetView zoomScale="90" zoomScaleNormal="90" workbookViewId="0">
      <selection sqref="A1:E1"/>
    </sheetView>
  </sheetViews>
  <sheetFormatPr defaultRowHeight="12.5" x14ac:dyDescent="0.25"/>
  <cols>
    <col min="1" max="1" width="10.54296875" customWidth="1"/>
    <col min="2" max="2" width="53.81640625" customWidth="1"/>
    <col min="3" max="3" width="13.1796875" customWidth="1"/>
    <col min="4" max="4" width="11.453125" customWidth="1"/>
    <col min="5" max="5" width="11.7265625" customWidth="1"/>
    <col min="6" max="6" width="13.1796875" customWidth="1"/>
    <col min="7" max="8" width="12" customWidth="1"/>
    <col min="9" max="12" width="13.26953125" customWidth="1"/>
    <col min="13" max="14" width="12" customWidth="1"/>
    <col min="15" max="16" width="9.1796875" hidden="1" customWidth="1"/>
    <col min="23" max="23" width="12.1796875" customWidth="1"/>
    <col min="38" max="38" width="12.26953125" customWidth="1"/>
  </cols>
  <sheetData>
    <row r="1" spans="1:16" ht="17.5" x14ac:dyDescent="0.35">
      <c r="A1" s="617" t="s">
        <v>669</v>
      </c>
      <c r="B1" s="618"/>
      <c r="C1" s="618"/>
      <c r="D1" s="618"/>
      <c r="E1" s="619"/>
      <c r="F1" s="615" t="s">
        <v>924</v>
      </c>
      <c r="G1" s="616"/>
    </row>
    <row r="2" spans="1:16" s="208" customFormat="1" ht="15.5" x14ac:dyDescent="0.35">
      <c r="A2" s="629" t="s">
        <v>656</v>
      </c>
      <c r="B2" s="631" t="s">
        <v>1083</v>
      </c>
      <c r="C2" s="613" t="s">
        <v>655</v>
      </c>
      <c r="D2" s="614"/>
      <c r="E2" s="629" t="s">
        <v>430</v>
      </c>
      <c r="F2" s="613" t="s">
        <v>655</v>
      </c>
      <c r="G2" s="614"/>
      <c r="I2" s="292" t="s">
        <v>798</v>
      </c>
    </row>
    <row r="3" spans="1:16" s="208" customFormat="1" ht="15.5" x14ac:dyDescent="0.35">
      <c r="A3" s="630"/>
      <c r="B3" s="632"/>
      <c r="C3" s="210" t="s">
        <v>264</v>
      </c>
      <c r="D3" s="210" t="s">
        <v>265</v>
      </c>
      <c r="E3" s="630"/>
      <c r="F3" s="210" t="s">
        <v>264</v>
      </c>
      <c r="G3" s="367" t="s">
        <v>265</v>
      </c>
      <c r="H3" s="209"/>
      <c r="I3" s="292" t="s">
        <v>797</v>
      </c>
      <c r="J3" s="209"/>
      <c r="K3" s="209"/>
      <c r="L3" s="209"/>
      <c r="M3" s="209"/>
      <c r="N3" s="209"/>
    </row>
    <row r="4" spans="1:16" s="192" customFormat="1" ht="14" x14ac:dyDescent="0.25">
      <c r="A4" s="191"/>
      <c r="B4" s="363"/>
      <c r="C4" s="257"/>
      <c r="D4" s="257"/>
      <c r="E4" s="243"/>
      <c r="F4" s="368"/>
      <c r="G4" s="368"/>
      <c r="H4"/>
      <c r="I4"/>
      <c r="J4"/>
      <c r="K4"/>
      <c r="L4"/>
      <c r="M4"/>
      <c r="N4"/>
    </row>
    <row r="5" spans="1:16" s="192" customFormat="1" ht="14" x14ac:dyDescent="0.25">
      <c r="A5" s="191"/>
      <c r="B5" s="363"/>
      <c r="C5" s="257"/>
      <c r="D5" s="257"/>
      <c r="E5" s="365"/>
      <c r="F5" s="369"/>
      <c r="G5" s="369"/>
      <c r="H5"/>
      <c r="I5" s="211" t="s">
        <v>951</v>
      </c>
      <c r="J5"/>
      <c r="K5"/>
      <c r="L5"/>
      <c r="M5"/>
      <c r="N5"/>
    </row>
    <row r="6" spans="1:16" s="192" customFormat="1" ht="14" x14ac:dyDescent="0.25">
      <c r="A6" s="361" t="s">
        <v>657</v>
      </c>
      <c r="B6" s="364"/>
      <c r="C6" s="362"/>
      <c r="D6" s="362"/>
      <c r="E6" s="121"/>
      <c r="F6" s="360"/>
      <c r="H6"/>
      <c r="I6"/>
      <c r="J6"/>
      <c r="K6"/>
      <c r="L6"/>
      <c r="M6"/>
      <c r="N6"/>
    </row>
    <row r="7" spans="1:16" s="97" customFormat="1" ht="15.5" x14ac:dyDescent="0.35">
      <c r="A7" s="166"/>
      <c r="B7" s="186" t="s">
        <v>923</v>
      </c>
      <c r="C7" s="167">
        <f>SUM(C3:C6)</f>
        <v>0</v>
      </c>
      <c r="D7" s="167">
        <f>SUM(D3:D6)</f>
        <v>0</v>
      </c>
      <c r="E7"/>
      <c r="G7" s="168"/>
      <c r="H7" s="168"/>
      <c r="I7" s="168"/>
      <c r="J7" s="168"/>
      <c r="K7" s="168"/>
      <c r="L7" s="168"/>
      <c r="M7" s="168"/>
      <c r="N7" s="168"/>
      <c r="O7" s="168"/>
      <c r="P7" s="168"/>
    </row>
    <row r="9" spans="1:16" ht="13" thickBot="1" x14ac:dyDescent="0.3"/>
    <row r="10" spans="1:16" s="4" customFormat="1" ht="17.5" x14ac:dyDescent="0.25">
      <c r="A10" s="624" t="s">
        <v>569</v>
      </c>
      <c r="B10" s="625"/>
      <c r="C10" s="625"/>
      <c r="D10" s="626"/>
      <c r="E10"/>
      <c r="F10"/>
      <c r="G10"/>
      <c r="H10"/>
      <c r="I10"/>
      <c r="J10"/>
    </row>
    <row r="11" spans="1:16" ht="15.5" x14ac:dyDescent="0.25">
      <c r="A11" s="627" t="s">
        <v>654</v>
      </c>
      <c r="B11" s="622" t="s">
        <v>266</v>
      </c>
      <c r="C11" s="620" t="s">
        <v>351</v>
      </c>
      <c r="D11" s="621"/>
    </row>
    <row r="12" spans="1:16" ht="15.5" x14ac:dyDescent="0.25">
      <c r="A12" s="628"/>
      <c r="B12" s="623"/>
      <c r="C12" s="241" t="s">
        <v>732</v>
      </c>
      <c r="D12" s="244" t="s">
        <v>733</v>
      </c>
    </row>
    <row r="13" spans="1:16" ht="14.5" x14ac:dyDescent="0.35">
      <c r="A13" s="245">
        <v>1</v>
      </c>
      <c r="B13" s="242" t="s">
        <v>90</v>
      </c>
      <c r="C13" s="164">
        <f xml:space="preserve"> SUMIF($E$3:$E$6,$A13,C$3:C$6)</f>
        <v>0</v>
      </c>
      <c r="D13" s="398">
        <f xml:space="preserve"> SUMIF($E$3:$E$6,$A13,D$3:D$6)</f>
        <v>0</v>
      </c>
    </row>
    <row r="14" spans="1:16" ht="14.5" x14ac:dyDescent="0.35">
      <c r="A14" s="245">
        <v>2</v>
      </c>
      <c r="B14" s="242" t="s">
        <v>72</v>
      </c>
      <c r="C14" s="164">
        <f t="shared" ref="C14:D22" si="0" xml:space="preserve"> SUMIF($E$3:$E$6,$A14,C$3:C$6)</f>
        <v>0</v>
      </c>
      <c r="D14" s="398">
        <f t="shared" si="0"/>
        <v>0</v>
      </c>
    </row>
    <row r="15" spans="1:16" ht="14.5" x14ac:dyDescent="0.35">
      <c r="A15" s="245">
        <v>3</v>
      </c>
      <c r="B15" s="242" t="s">
        <v>93</v>
      </c>
      <c r="C15" s="164">
        <f t="shared" si="0"/>
        <v>0</v>
      </c>
      <c r="D15" s="398">
        <f t="shared" si="0"/>
        <v>0</v>
      </c>
    </row>
    <row r="16" spans="1:16" ht="14.5" x14ac:dyDescent="0.35">
      <c r="A16" s="245">
        <v>4</v>
      </c>
      <c r="B16" s="242" t="s">
        <v>91</v>
      </c>
      <c r="C16" s="164">
        <f t="shared" si="0"/>
        <v>0</v>
      </c>
      <c r="D16" s="398">
        <f t="shared" si="0"/>
        <v>0</v>
      </c>
      <c r="G16" s="98"/>
    </row>
    <row r="17" spans="1:5" ht="14.5" x14ac:dyDescent="0.35">
      <c r="A17" s="245">
        <v>5</v>
      </c>
      <c r="B17" s="242" t="s">
        <v>92</v>
      </c>
      <c r="C17" s="164">
        <f t="shared" si="0"/>
        <v>0</v>
      </c>
      <c r="D17" s="398">
        <f t="shared" si="0"/>
        <v>0</v>
      </c>
      <c r="E17" s="3"/>
    </row>
    <row r="18" spans="1:5" ht="14.5" x14ac:dyDescent="0.35">
      <c r="A18" s="245">
        <v>6</v>
      </c>
      <c r="B18" s="242" t="s">
        <v>88</v>
      </c>
      <c r="C18" s="164">
        <f t="shared" si="0"/>
        <v>0</v>
      </c>
      <c r="D18" s="398">
        <f t="shared" si="0"/>
        <v>0</v>
      </c>
    </row>
    <row r="19" spans="1:5" ht="14.5" x14ac:dyDescent="0.35">
      <c r="A19" s="245">
        <v>7</v>
      </c>
      <c r="B19" s="242" t="s">
        <v>263</v>
      </c>
      <c r="C19" s="164">
        <f t="shared" si="0"/>
        <v>0</v>
      </c>
      <c r="D19" s="398">
        <f t="shared" si="0"/>
        <v>0</v>
      </c>
    </row>
    <row r="20" spans="1:5" ht="14.5" x14ac:dyDescent="0.35">
      <c r="A20" s="245">
        <v>8</v>
      </c>
      <c r="B20" s="242" t="s">
        <v>14</v>
      </c>
      <c r="C20" s="164">
        <f t="shared" si="0"/>
        <v>0</v>
      </c>
      <c r="D20" s="398">
        <f t="shared" si="0"/>
        <v>0</v>
      </c>
    </row>
    <row r="21" spans="1:5" ht="14.5" x14ac:dyDescent="0.35">
      <c r="A21" s="245">
        <v>9</v>
      </c>
      <c r="B21" s="242" t="s">
        <v>1008</v>
      </c>
      <c r="C21" s="164">
        <f t="shared" si="0"/>
        <v>0</v>
      </c>
      <c r="D21" s="398">
        <f t="shared" si="0"/>
        <v>0</v>
      </c>
    </row>
    <row r="22" spans="1:5" ht="15" thickBot="1" x14ac:dyDescent="0.4">
      <c r="A22" s="245">
        <v>10</v>
      </c>
      <c r="B22" s="246" t="s">
        <v>73</v>
      </c>
      <c r="C22" s="400">
        <f t="shared" si="0"/>
        <v>0</v>
      </c>
      <c r="D22" s="399">
        <f t="shared" si="0"/>
        <v>0</v>
      </c>
    </row>
  </sheetData>
  <mergeCells count="11">
    <mergeCell ref="F2:G2"/>
    <mergeCell ref="F1:G1"/>
    <mergeCell ref="A1:E1"/>
    <mergeCell ref="C11:D11"/>
    <mergeCell ref="B11:B12"/>
    <mergeCell ref="A10:D10"/>
    <mergeCell ref="A11:A12"/>
    <mergeCell ref="A2:A3"/>
    <mergeCell ref="E2:E3"/>
    <mergeCell ref="C2:D2"/>
    <mergeCell ref="B2:B3"/>
  </mergeCells>
  <dataValidations count="3">
    <dataValidation type="decimal" operator="greaterThanOrEqual" allowBlank="1" showInputMessage="1" showErrorMessage="1" sqref="C4:C5">
      <formula1>0</formula1>
    </dataValidation>
    <dataValidation type="decimal" operator="greaterThanOrEqual" allowBlank="1" showInputMessage="1" showErrorMessage="1" sqref="D4:D5">
      <formula1>C4</formula1>
    </dataValidation>
    <dataValidation type="whole" allowBlank="1" showInputMessage="1" showErrorMessage="1" sqref="E4">
      <formula1>1</formula1>
      <formula2>11</formula2>
    </dataValidation>
  </dataValidations>
  <pageMargins left="0.7" right="0.7" top="0.75" bottom="0.75" header="0.3" footer="0.3"/>
  <pageSetup scale="55" fitToHeight="100" orientation="landscape" r:id="rId1"/>
  <headerFooter>
    <oddHeader>&amp;L&amp;F&amp;C&amp;A&amp;R&amp;D</oddHead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AddGrDebtRow">
                <anchor moveWithCells="1" sizeWithCells="1">
                  <from>
                    <xdr:col>0</xdr:col>
                    <xdr:colOff>12700</xdr:colOff>
                    <xdr:row>5</xdr:row>
                    <xdr:rowOff>12700</xdr:rowOff>
                  </from>
                  <to>
                    <xdr:col>4</xdr:col>
                    <xdr:colOff>12700</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R238"/>
  <sheetViews>
    <sheetView workbookViewId="0">
      <selection sqref="A1:Q1"/>
    </sheetView>
  </sheetViews>
  <sheetFormatPr defaultRowHeight="12.5" x14ac:dyDescent="0.25"/>
  <cols>
    <col min="1" max="1" width="16.81640625" customWidth="1"/>
    <col min="2" max="2" width="22.1796875" style="215" bestFit="1" customWidth="1"/>
    <col min="3" max="5" width="8.7265625" customWidth="1"/>
    <col min="6" max="6" width="9.1796875" style="213"/>
    <col min="7" max="7" width="8.7265625" customWidth="1"/>
    <col min="8" max="8" width="9.1796875" style="213"/>
    <col min="9" max="9" width="8.7265625" customWidth="1"/>
    <col min="10" max="10" width="9.1796875" style="213"/>
  </cols>
  <sheetData>
    <row r="1" spans="1:18" x14ac:dyDescent="0.25">
      <c r="A1" s="633" t="s">
        <v>576</v>
      </c>
      <c r="B1" s="633"/>
      <c r="C1" s="633"/>
      <c r="D1" s="633"/>
      <c r="E1" s="633"/>
      <c r="F1" s="633"/>
      <c r="G1" s="633"/>
      <c r="H1" s="633"/>
      <c r="I1" s="633"/>
      <c r="J1" s="633"/>
      <c r="K1" s="633"/>
      <c r="L1" s="633"/>
      <c r="M1" s="633"/>
      <c r="N1" s="633"/>
      <c r="O1" s="633"/>
      <c r="P1" s="633"/>
      <c r="Q1" s="633"/>
      <c r="R1" s="211"/>
    </row>
    <row r="2" spans="1:18" s="213" customFormat="1" ht="13" x14ac:dyDescent="0.3">
      <c r="B2" s="225"/>
      <c r="C2" s="284" t="s">
        <v>714</v>
      </c>
      <c r="D2" s="284" t="s">
        <v>714</v>
      </c>
      <c r="E2" s="284" t="s">
        <v>408</v>
      </c>
      <c r="F2" s="285" t="s">
        <v>408</v>
      </c>
      <c r="G2" s="284">
        <v>12.1</v>
      </c>
      <c r="H2" s="285" t="s">
        <v>406</v>
      </c>
      <c r="I2" s="284" t="s">
        <v>404</v>
      </c>
      <c r="J2" s="285" t="s">
        <v>404</v>
      </c>
      <c r="R2" s="214"/>
    </row>
    <row r="3" spans="1:18" x14ac:dyDescent="0.25">
      <c r="A3" t="s">
        <v>59</v>
      </c>
      <c r="B3" t="s">
        <v>580</v>
      </c>
      <c r="C3">
        <v>1</v>
      </c>
      <c r="E3">
        <v>1</v>
      </c>
      <c r="F3" t="s">
        <v>586</v>
      </c>
      <c r="G3">
        <v>1</v>
      </c>
      <c r="H3" t="s">
        <v>586</v>
      </c>
      <c r="I3">
        <v>1</v>
      </c>
      <c r="J3" t="s">
        <v>586</v>
      </c>
    </row>
    <row r="4" spans="1:18" x14ac:dyDescent="0.25">
      <c r="A4" t="s">
        <v>59</v>
      </c>
      <c r="B4" t="s">
        <v>581</v>
      </c>
      <c r="C4">
        <v>1</v>
      </c>
      <c r="F4"/>
      <c r="H4"/>
      <c r="J4"/>
    </row>
    <row r="5" spans="1:18" x14ac:dyDescent="0.25">
      <c r="A5" t="s">
        <v>59</v>
      </c>
      <c r="B5" t="s">
        <v>577</v>
      </c>
      <c r="C5">
        <v>1</v>
      </c>
      <c r="E5">
        <v>1</v>
      </c>
      <c r="F5" t="s">
        <v>587</v>
      </c>
      <c r="G5">
        <v>1</v>
      </c>
      <c r="H5" t="s">
        <v>587</v>
      </c>
      <c r="I5">
        <v>1</v>
      </c>
      <c r="J5" t="s">
        <v>587</v>
      </c>
    </row>
    <row r="6" spans="1:18" x14ac:dyDescent="0.25">
      <c r="A6" t="s">
        <v>59</v>
      </c>
      <c r="B6" t="s">
        <v>578</v>
      </c>
      <c r="C6">
        <v>1</v>
      </c>
      <c r="F6"/>
      <c r="H6"/>
      <c r="J6"/>
    </row>
    <row r="7" spans="1:18" x14ac:dyDescent="0.25">
      <c r="A7" t="s">
        <v>59</v>
      </c>
      <c r="B7" t="s">
        <v>579</v>
      </c>
      <c r="C7">
        <v>1</v>
      </c>
      <c r="E7">
        <v>1</v>
      </c>
      <c r="F7" t="s">
        <v>588</v>
      </c>
      <c r="G7">
        <v>1</v>
      </c>
      <c r="H7" t="s">
        <v>588</v>
      </c>
      <c r="I7">
        <v>1</v>
      </c>
      <c r="J7" t="s">
        <v>588</v>
      </c>
    </row>
    <row r="8" spans="1:18" x14ac:dyDescent="0.25">
      <c r="A8" t="s">
        <v>59</v>
      </c>
      <c r="B8" t="s">
        <v>653</v>
      </c>
      <c r="C8">
        <v>1</v>
      </c>
      <c r="F8"/>
      <c r="H8"/>
      <c r="J8"/>
    </row>
    <row r="9" spans="1:18" x14ac:dyDescent="0.25">
      <c r="A9" t="s">
        <v>59</v>
      </c>
      <c r="B9" t="s">
        <v>582</v>
      </c>
      <c r="C9">
        <v>3</v>
      </c>
      <c r="E9">
        <v>3</v>
      </c>
      <c r="F9" t="s">
        <v>606</v>
      </c>
      <c r="G9">
        <v>3</v>
      </c>
      <c r="H9" t="s">
        <v>606</v>
      </c>
      <c r="I9">
        <v>3</v>
      </c>
      <c r="J9" t="s">
        <v>606</v>
      </c>
    </row>
    <row r="10" spans="1:18" x14ac:dyDescent="0.25">
      <c r="A10" t="s">
        <v>59</v>
      </c>
      <c r="B10" t="s">
        <v>694</v>
      </c>
      <c r="C10">
        <v>1</v>
      </c>
      <c r="E10">
        <v>1</v>
      </c>
      <c r="F10" t="s">
        <v>589</v>
      </c>
      <c r="G10">
        <v>1</v>
      </c>
      <c r="H10" t="s">
        <v>589</v>
      </c>
      <c r="I10">
        <v>1</v>
      </c>
      <c r="J10" t="s">
        <v>589</v>
      </c>
    </row>
    <row r="11" spans="1:18" x14ac:dyDescent="0.25">
      <c r="A11" t="s">
        <v>59</v>
      </c>
      <c r="B11" t="s">
        <v>695</v>
      </c>
      <c r="C11">
        <v>1</v>
      </c>
      <c r="F11"/>
      <c r="H11"/>
      <c r="J11"/>
    </row>
    <row r="12" spans="1:18" x14ac:dyDescent="0.25">
      <c r="A12" t="s">
        <v>59</v>
      </c>
      <c r="B12" t="s">
        <v>696</v>
      </c>
      <c r="C12">
        <v>1</v>
      </c>
      <c r="E12">
        <v>1</v>
      </c>
      <c r="F12" t="s">
        <v>590</v>
      </c>
      <c r="G12">
        <v>1</v>
      </c>
      <c r="H12" t="s">
        <v>590</v>
      </c>
      <c r="I12">
        <v>1</v>
      </c>
      <c r="J12" t="s">
        <v>590</v>
      </c>
    </row>
    <row r="13" spans="1:18" x14ac:dyDescent="0.25">
      <c r="A13" t="s">
        <v>59</v>
      </c>
      <c r="B13" t="s">
        <v>697</v>
      </c>
      <c r="C13">
        <v>1</v>
      </c>
      <c r="E13">
        <v>1</v>
      </c>
      <c r="F13" t="s">
        <v>701</v>
      </c>
      <c r="G13">
        <v>1</v>
      </c>
      <c r="H13" t="s">
        <v>701</v>
      </c>
      <c r="I13">
        <v>1</v>
      </c>
      <c r="J13" t="s">
        <v>701</v>
      </c>
    </row>
    <row r="14" spans="1:18" x14ac:dyDescent="0.25">
      <c r="A14" t="s">
        <v>59</v>
      </c>
      <c r="B14" t="s">
        <v>583</v>
      </c>
      <c r="C14">
        <v>1</v>
      </c>
      <c r="E14">
        <v>1</v>
      </c>
      <c r="F14" t="s">
        <v>591</v>
      </c>
      <c r="G14">
        <v>1</v>
      </c>
      <c r="H14" t="s">
        <v>591</v>
      </c>
      <c r="I14">
        <v>1</v>
      </c>
      <c r="J14" t="s">
        <v>591</v>
      </c>
    </row>
    <row r="15" spans="1:18" x14ac:dyDescent="0.25">
      <c r="A15" t="s">
        <v>59</v>
      </c>
      <c r="B15" t="s">
        <v>584</v>
      </c>
      <c r="C15">
        <v>1</v>
      </c>
      <c r="E15">
        <v>1</v>
      </c>
      <c r="F15" t="s">
        <v>592</v>
      </c>
      <c r="G15">
        <v>1</v>
      </c>
      <c r="H15" t="s">
        <v>592</v>
      </c>
      <c r="I15">
        <v>1</v>
      </c>
      <c r="J15" t="s">
        <v>592</v>
      </c>
    </row>
    <row r="16" spans="1:18" x14ac:dyDescent="0.25">
      <c r="A16" t="s">
        <v>59</v>
      </c>
      <c r="B16" t="s">
        <v>585</v>
      </c>
      <c r="C16">
        <v>5</v>
      </c>
      <c r="E16">
        <v>5</v>
      </c>
      <c r="F16" t="s">
        <v>593</v>
      </c>
      <c r="G16">
        <v>1</v>
      </c>
      <c r="H16" t="s">
        <v>593</v>
      </c>
      <c r="I16">
        <v>1</v>
      </c>
      <c r="J16" t="s">
        <v>593</v>
      </c>
    </row>
    <row r="17" spans="1:11" x14ac:dyDescent="0.25">
      <c r="A17" t="s">
        <v>59</v>
      </c>
      <c r="B17" t="s">
        <v>630</v>
      </c>
      <c r="C17">
        <v>1</v>
      </c>
      <c r="E17">
        <v>1</v>
      </c>
      <c r="F17" t="s">
        <v>594</v>
      </c>
      <c r="G17">
        <v>2</v>
      </c>
      <c r="H17" t="s">
        <v>594</v>
      </c>
      <c r="I17">
        <v>2</v>
      </c>
      <c r="J17" t="s">
        <v>594</v>
      </c>
    </row>
    <row r="18" spans="1:11" x14ac:dyDescent="0.25">
      <c r="A18" t="s">
        <v>59</v>
      </c>
      <c r="B18" t="s">
        <v>631</v>
      </c>
      <c r="C18">
        <v>1</v>
      </c>
      <c r="E18">
        <v>1</v>
      </c>
      <c r="F18" t="s">
        <v>595</v>
      </c>
      <c r="G18">
        <v>2</v>
      </c>
      <c r="H18" t="s">
        <v>595</v>
      </c>
      <c r="I18">
        <v>2</v>
      </c>
      <c r="J18" t="s">
        <v>595</v>
      </c>
    </row>
    <row r="19" spans="1:11" x14ac:dyDescent="0.25">
      <c r="A19" t="s">
        <v>59</v>
      </c>
      <c r="B19" t="s">
        <v>632</v>
      </c>
      <c r="C19">
        <v>1</v>
      </c>
      <c r="E19">
        <v>1</v>
      </c>
      <c r="F19" t="s">
        <v>596</v>
      </c>
      <c r="G19">
        <v>2</v>
      </c>
      <c r="H19" t="s">
        <v>596</v>
      </c>
      <c r="I19">
        <v>2</v>
      </c>
      <c r="J19" t="s">
        <v>596</v>
      </c>
    </row>
    <row r="20" spans="1:11" x14ac:dyDescent="0.25">
      <c r="A20" t="s">
        <v>59</v>
      </c>
      <c r="B20" t="s">
        <v>633</v>
      </c>
      <c r="C20">
        <v>1</v>
      </c>
      <c r="E20">
        <v>1</v>
      </c>
      <c r="F20" t="s">
        <v>597</v>
      </c>
      <c r="G20">
        <v>2</v>
      </c>
      <c r="H20" t="s">
        <v>597</v>
      </c>
      <c r="I20">
        <v>2</v>
      </c>
      <c r="J20" t="s">
        <v>597</v>
      </c>
    </row>
    <row r="21" spans="1:11" x14ac:dyDescent="0.25">
      <c r="A21" t="s">
        <v>59</v>
      </c>
      <c r="B21" t="s">
        <v>634</v>
      </c>
      <c r="C21">
        <v>1</v>
      </c>
      <c r="E21">
        <v>1</v>
      </c>
      <c r="F21" t="s">
        <v>598</v>
      </c>
      <c r="G21">
        <v>2</v>
      </c>
      <c r="H21" t="s">
        <v>598</v>
      </c>
      <c r="I21">
        <v>2</v>
      </c>
      <c r="J21" t="s">
        <v>598</v>
      </c>
    </row>
    <row r="22" spans="1:11" x14ac:dyDescent="0.25">
      <c r="A22" t="s">
        <v>59</v>
      </c>
      <c r="B22" t="s">
        <v>635</v>
      </c>
      <c r="C22">
        <v>1</v>
      </c>
      <c r="E22">
        <v>1</v>
      </c>
      <c r="F22" t="s">
        <v>599</v>
      </c>
      <c r="G22">
        <v>2</v>
      </c>
      <c r="H22" t="s">
        <v>599</v>
      </c>
      <c r="I22">
        <v>2</v>
      </c>
      <c r="J22" t="s">
        <v>599</v>
      </c>
    </row>
    <row r="23" spans="1:11" x14ac:dyDescent="0.25">
      <c r="A23" t="s">
        <v>59</v>
      </c>
      <c r="B23" t="s">
        <v>636</v>
      </c>
      <c r="C23">
        <v>1</v>
      </c>
      <c r="E23">
        <v>1</v>
      </c>
      <c r="F23" t="s">
        <v>600</v>
      </c>
      <c r="G23">
        <v>2</v>
      </c>
      <c r="H23" t="s">
        <v>600</v>
      </c>
      <c r="I23">
        <v>2</v>
      </c>
      <c r="J23" t="s">
        <v>600</v>
      </c>
    </row>
    <row r="24" spans="1:11" x14ac:dyDescent="0.25">
      <c r="A24" t="s">
        <v>59</v>
      </c>
      <c r="B24" t="s">
        <v>637</v>
      </c>
      <c r="C24">
        <v>1</v>
      </c>
      <c r="E24">
        <v>1</v>
      </c>
      <c r="F24" t="s">
        <v>601</v>
      </c>
      <c r="G24">
        <v>2</v>
      </c>
      <c r="H24" t="s">
        <v>601</v>
      </c>
      <c r="I24">
        <v>2</v>
      </c>
      <c r="J24" t="s">
        <v>601</v>
      </c>
    </row>
    <row r="25" spans="1:11" x14ac:dyDescent="0.25">
      <c r="A25" t="s">
        <v>59</v>
      </c>
      <c r="B25" t="s">
        <v>638</v>
      </c>
      <c r="C25">
        <v>1</v>
      </c>
      <c r="E25">
        <v>1</v>
      </c>
      <c r="F25" t="s">
        <v>602</v>
      </c>
      <c r="G25">
        <v>2</v>
      </c>
      <c r="H25" t="s">
        <v>602</v>
      </c>
      <c r="I25">
        <v>2</v>
      </c>
      <c r="J25" t="s">
        <v>602</v>
      </c>
    </row>
    <row r="26" spans="1:11" x14ac:dyDescent="0.25">
      <c r="A26" t="s">
        <v>59</v>
      </c>
      <c r="B26" t="s">
        <v>639</v>
      </c>
      <c r="C26">
        <v>1</v>
      </c>
      <c r="E26">
        <v>1</v>
      </c>
      <c r="F26" t="s">
        <v>603</v>
      </c>
      <c r="G26">
        <v>2</v>
      </c>
      <c r="H26" t="s">
        <v>603</v>
      </c>
      <c r="I26">
        <v>2</v>
      </c>
      <c r="J26" t="s">
        <v>603</v>
      </c>
    </row>
    <row r="27" spans="1:11" x14ac:dyDescent="0.25">
      <c r="A27" t="s">
        <v>59</v>
      </c>
      <c r="B27" t="s">
        <v>640</v>
      </c>
      <c r="C27">
        <v>1</v>
      </c>
      <c r="E27">
        <v>1</v>
      </c>
      <c r="F27" t="s">
        <v>604</v>
      </c>
      <c r="G27">
        <v>2</v>
      </c>
      <c r="H27" t="s">
        <v>604</v>
      </c>
      <c r="I27">
        <v>2</v>
      </c>
      <c r="J27" t="s">
        <v>604</v>
      </c>
    </row>
    <row r="28" spans="1:11" x14ac:dyDescent="0.25">
      <c r="A28" t="s">
        <v>59</v>
      </c>
      <c r="B28" t="s">
        <v>641</v>
      </c>
      <c r="C28">
        <v>1</v>
      </c>
      <c r="E28">
        <v>1</v>
      </c>
      <c r="F28" t="s">
        <v>605</v>
      </c>
      <c r="G28">
        <v>2</v>
      </c>
      <c r="H28" t="s">
        <v>605</v>
      </c>
      <c r="I28">
        <v>2</v>
      </c>
      <c r="J28" t="s">
        <v>605</v>
      </c>
    </row>
    <row r="29" spans="1:11" x14ac:dyDescent="0.25">
      <c r="A29" t="s">
        <v>1147</v>
      </c>
      <c r="B29" t="s">
        <v>553</v>
      </c>
      <c r="C29">
        <v>4</v>
      </c>
      <c r="E29">
        <v>4</v>
      </c>
      <c r="F29" t="s">
        <v>616</v>
      </c>
      <c r="G29">
        <v>4</v>
      </c>
      <c r="H29" t="s">
        <v>616</v>
      </c>
      <c r="I29">
        <v>4</v>
      </c>
      <c r="J29" t="s">
        <v>616</v>
      </c>
      <c r="K29" s="212"/>
    </row>
    <row r="30" spans="1:11" x14ac:dyDescent="0.25">
      <c r="A30" t="s">
        <v>1147</v>
      </c>
      <c r="B30" t="s">
        <v>489</v>
      </c>
      <c r="C30">
        <v>4</v>
      </c>
      <c r="E30">
        <v>4</v>
      </c>
      <c r="F30" t="s">
        <v>619</v>
      </c>
      <c r="G30">
        <v>4</v>
      </c>
      <c r="H30" t="s">
        <v>619</v>
      </c>
      <c r="I30">
        <v>4</v>
      </c>
      <c r="J30" t="s">
        <v>619</v>
      </c>
      <c r="K30" s="212"/>
    </row>
    <row r="31" spans="1:11" x14ac:dyDescent="0.25">
      <c r="A31" t="s">
        <v>1147</v>
      </c>
      <c r="B31" t="s">
        <v>490</v>
      </c>
      <c r="C31">
        <v>4</v>
      </c>
      <c r="E31">
        <v>4</v>
      </c>
      <c r="F31" t="s">
        <v>96</v>
      </c>
      <c r="G31">
        <v>4</v>
      </c>
      <c r="H31" t="s">
        <v>96</v>
      </c>
      <c r="I31">
        <v>4</v>
      </c>
      <c r="J31" t="s">
        <v>96</v>
      </c>
      <c r="K31" s="212"/>
    </row>
    <row r="32" spans="1:11" x14ac:dyDescent="0.25">
      <c r="A32" t="s">
        <v>1147</v>
      </c>
      <c r="B32" t="s">
        <v>491</v>
      </c>
      <c r="C32">
        <v>4</v>
      </c>
      <c r="E32">
        <v>4</v>
      </c>
      <c r="F32" t="s">
        <v>97</v>
      </c>
      <c r="G32">
        <v>4</v>
      </c>
      <c r="H32" t="s">
        <v>97</v>
      </c>
      <c r="I32">
        <v>4</v>
      </c>
      <c r="J32" t="s">
        <v>97</v>
      </c>
      <c r="K32" s="212"/>
    </row>
    <row r="33" spans="1:11" x14ac:dyDescent="0.25">
      <c r="A33" t="s">
        <v>1147</v>
      </c>
      <c r="B33" t="s">
        <v>1105</v>
      </c>
      <c r="C33">
        <v>4</v>
      </c>
      <c r="F33"/>
      <c r="H33"/>
      <c r="J33"/>
      <c r="K33" s="212"/>
    </row>
    <row r="34" spans="1:11" x14ac:dyDescent="0.25">
      <c r="A34" t="s">
        <v>1147</v>
      </c>
      <c r="B34" t="s">
        <v>1106</v>
      </c>
      <c r="C34">
        <v>4</v>
      </c>
      <c r="F34"/>
      <c r="H34"/>
      <c r="J34"/>
      <c r="K34" s="212"/>
    </row>
    <row r="35" spans="1:11" x14ac:dyDescent="0.25">
      <c r="A35" t="s">
        <v>1147</v>
      </c>
      <c r="B35" t="s">
        <v>1092</v>
      </c>
      <c r="C35">
        <v>4</v>
      </c>
      <c r="F35"/>
      <c r="H35"/>
      <c r="J35"/>
      <c r="K35" s="212"/>
    </row>
    <row r="36" spans="1:11" x14ac:dyDescent="0.25">
      <c r="A36" t="s">
        <v>1147</v>
      </c>
      <c r="B36" t="s">
        <v>1107</v>
      </c>
      <c r="C36">
        <v>4</v>
      </c>
      <c r="F36"/>
      <c r="H36"/>
      <c r="J36"/>
      <c r="K36" s="212"/>
    </row>
    <row r="37" spans="1:11" x14ac:dyDescent="0.25">
      <c r="A37" t="s">
        <v>1147</v>
      </c>
      <c r="B37" t="s">
        <v>554</v>
      </c>
      <c r="C37">
        <v>4</v>
      </c>
      <c r="E37">
        <v>4</v>
      </c>
      <c r="F37" t="s">
        <v>623</v>
      </c>
      <c r="G37">
        <v>4</v>
      </c>
      <c r="H37" t="s">
        <v>623</v>
      </c>
      <c r="I37">
        <v>4</v>
      </c>
      <c r="J37" t="s">
        <v>623</v>
      </c>
      <c r="K37" s="212"/>
    </row>
    <row r="38" spans="1:11" x14ac:dyDescent="0.25">
      <c r="A38" t="s">
        <v>1147</v>
      </c>
      <c r="B38" t="s">
        <v>1093</v>
      </c>
      <c r="C38">
        <v>4</v>
      </c>
      <c r="F38"/>
      <c r="H38"/>
      <c r="J38"/>
      <c r="K38" s="212"/>
    </row>
    <row r="39" spans="1:11" x14ac:dyDescent="0.25">
      <c r="A39" t="s">
        <v>1147</v>
      </c>
      <c r="B39" t="s">
        <v>1111</v>
      </c>
      <c r="C39">
        <v>4</v>
      </c>
      <c r="F39"/>
      <c r="H39"/>
      <c r="J39"/>
      <c r="K39" s="212"/>
    </row>
    <row r="40" spans="1:11" x14ac:dyDescent="0.25">
      <c r="A40" t="s">
        <v>1147</v>
      </c>
      <c r="B40" t="s">
        <v>492</v>
      </c>
      <c r="C40">
        <v>4</v>
      </c>
      <c r="E40">
        <v>4</v>
      </c>
      <c r="F40" t="s">
        <v>621</v>
      </c>
      <c r="G40">
        <v>4</v>
      </c>
      <c r="H40" t="s">
        <v>621</v>
      </c>
      <c r="I40">
        <v>4</v>
      </c>
      <c r="J40" t="s">
        <v>621</v>
      </c>
      <c r="K40" s="212"/>
    </row>
    <row r="41" spans="1:11" x14ac:dyDescent="0.25">
      <c r="A41" t="s">
        <v>1147</v>
      </c>
      <c r="B41" t="s">
        <v>493</v>
      </c>
      <c r="C41">
        <v>4</v>
      </c>
      <c r="E41">
        <v>4</v>
      </c>
      <c r="F41" t="s">
        <v>255</v>
      </c>
      <c r="G41">
        <v>4</v>
      </c>
      <c r="H41" t="s">
        <v>255</v>
      </c>
      <c r="I41">
        <v>4</v>
      </c>
      <c r="J41" t="s">
        <v>255</v>
      </c>
      <c r="K41" s="212"/>
    </row>
    <row r="42" spans="1:11" x14ac:dyDescent="0.25">
      <c r="A42" t="s">
        <v>1147</v>
      </c>
      <c r="B42" t="s">
        <v>494</v>
      </c>
      <c r="C42">
        <v>4</v>
      </c>
      <c r="E42">
        <v>4</v>
      </c>
      <c r="F42" t="s">
        <v>622</v>
      </c>
      <c r="G42">
        <v>4</v>
      </c>
      <c r="H42" t="s">
        <v>622</v>
      </c>
      <c r="I42">
        <v>4</v>
      </c>
      <c r="J42" t="s">
        <v>622</v>
      </c>
      <c r="K42" s="212"/>
    </row>
    <row r="43" spans="1:11" x14ac:dyDescent="0.25">
      <c r="A43" t="s">
        <v>1147</v>
      </c>
      <c r="B43" t="s">
        <v>495</v>
      </c>
      <c r="C43">
        <v>4</v>
      </c>
      <c r="E43">
        <v>4</v>
      </c>
      <c r="F43" t="s">
        <v>103</v>
      </c>
      <c r="G43">
        <v>4</v>
      </c>
      <c r="H43" t="s">
        <v>103</v>
      </c>
      <c r="I43">
        <v>4</v>
      </c>
      <c r="J43" t="s">
        <v>103</v>
      </c>
      <c r="K43" s="212"/>
    </row>
    <row r="44" spans="1:11" x14ac:dyDescent="0.25">
      <c r="A44" t="s">
        <v>1147</v>
      </c>
      <c r="B44" t="s">
        <v>496</v>
      </c>
      <c r="C44">
        <v>4</v>
      </c>
      <c r="E44">
        <v>4</v>
      </c>
      <c r="F44" t="s">
        <v>104</v>
      </c>
      <c r="G44">
        <v>4</v>
      </c>
      <c r="H44" t="s">
        <v>104</v>
      </c>
      <c r="I44">
        <v>4</v>
      </c>
      <c r="J44" t="s">
        <v>104</v>
      </c>
      <c r="K44" s="212"/>
    </row>
    <row r="45" spans="1:11" x14ac:dyDescent="0.25">
      <c r="A45" t="s">
        <v>1147</v>
      </c>
      <c r="B45" t="s">
        <v>497</v>
      </c>
      <c r="C45">
        <v>4</v>
      </c>
      <c r="E45">
        <v>4</v>
      </c>
      <c r="F45" t="s">
        <v>100</v>
      </c>
      <c r="G45">
        <v>4</v>
      </c>
      <c r="H45" t="s">
        <v>100</v>
      </c>
      <c r="I45">
        <v>4</v>
      </c>
      <c r="J45" t="s">
        <v>100</v>
      </c>
      <c r="K45" s="212"/>
    </row>
    <row r="46" spans="1:11" x14ac:dyDescent="0.25">
      <c r="A46" t="s">
        <v>1147</v>
      </c>
      <c r="B46" t="s">
        <v>498</v>
      </c>
      <c r="C46">
        <v>4</v>
      </c>
      <c r="E46">
        <v>4</v>
      </c>
      <c r="F46" t="s">
        <v>256</v>
      </c>
      <c r="G46">
        <v>4</v>
      </c>
      <c r="H46" t="s">
        <v>256</v>
      </c>
      <c r="I46">
        <v>4</v>
      </c>
      <c r="J46" t="s">
        <v>256</v>
      </c>
      <c r="K46" s="212"/>
    </row>
    <row r="47" spans="1:11" x14ac:dyDescent="0.25">
      <c r="A47" t="s">
        <v>1147</v>
      </c>
      <c r="B47" t="s">
        <v>499</v>
      </c>
      <c r="C47">
        <v>4</v>
      </c>
      <c r="E47">
        <v>4</v>
      </c>
      <c r="F47" t="s">
        <v>105</v>
      </c>
      <c r="G47">
        <v>4</v>
      </c>
      <c r="H47" t="s">
        <v>105</v>
      </c>
      <c r="I47">
        <v>4</v>
      </c>
      <c r="J47" t="s">
        <v>105</v>
      </c>
      <c r="K47" s="212"/>
    </row>
    <row r="48" spans="1:11" x14ac:dyDescent="0.25">
      <c r="A48" t="s">
        <v>1147</v>
      </c>
      <c r="B48" t="s">
        <v>500</v>
      </c>
      <c r="C48">
        <v>4</v>
      </c>
      <c r="E48">
        <v>4</v>
      </c>
      <c r="F48" t="s">
        <v>106</v>
      </c>
      <c r="G48">
        <v>4</v>
      </c>
      <c r="H48" t="s">
        <v>106</v>
      </c>
      <c r="I48">
        <v>4</v>
      </c>
      <c r="J48" t="s">
        <v>106</v>
      </c>
      <c r="K48" s="212"/>
    </row>
    <row r="49" spans="1:11" x14ac:dyDescent="0.25">
      <c r="A49" t="s">
        <v>1147</v>
      </c>
      <c r="B49" t="s">
        <v>1112</v>
      </c>
      <c r="C49">
        <v>4</v>
      </c>
      <c r="F49"/>
      <c r="H49"/>
      <c r="J49"/>
      <c r="K49" s="212"/>
    </row>
    <row r="50" spans="1:11" x14ac:dyDescent="0.25">
      <c r="A50" t="s">
        <v>1147</v>
      </c>
      <c r="B50" t="s">
        <v>501</v>
      </c>
      <c r="C50">
        <v>4</v>
      </c>
      <c r="E50">
        <v>4</v>
      </c>
      <c r="F50" t="s">
        <v>107</v>
      </c>
      <c r="G50">
        <v>4</v>
      </c>
      <c r="H50" t="s">
        <v>107</v>
      </c>
      <c r="I50">
        <v>4</v>
      </c>
      <c r="J50" t="s">
        <v>107</v>
      </c>
      <c r="K50" s="212"/>
    </row>
    <row r="51" spans="1:11" x14ac:dyDescent="0.25">
      <c r="A51" t="s">
        <v>1147</v>
      </c>
      <c r="B51" t="s">
        <v>1113</v>
      </c>
      <c r="C51">
        <v>4</v>
      </c>
      <c r="F51"/>
      <c r="H51"/>
      <c r="J51"/>
      <c r="K51" s="212"/>
    </row>
    <row r="52" spans="1:11" x14ac:dyDescent="0.25">
      <c r="A52" t="s">
        <v>1147</v>
      </c>
      <c r="B52" t="s">
        <v>502</v>
      </c>
      <c r="C52">
        <v>4</v>
      </c>
      <c r="E52">
        <v>4</v>
      </c>
      <c r="F52" t="s">
        <v>257</v>
      </c>
      <c r="G52">
        <v>4</v>
      </c>
      <c r="H52" t="s">
        <v>257</v>
      </c>
      <c r="I52">
        <v>4</v>
      </c>
      <c r="J52" t="s">
        <v>257</v>
      </c>
      <c r="K52" s="212"/>
    </row>
    <row r="53" spans="1:11" x14ac:dyDescent="0.25">
      <c r="A53" t="s">
        <v>1147</v>
      </c>
      <c r="B53" t="s">
        <v>1114</v>
      </c>
      <c r="C53">
        <v>4</v>
      </c>
      <c r="F53"/>
      <c r="H53"/>
      <c r="J53"/>
      <c r="K53" s="212"/>
    </row>
    <row r="54" spans="1:11" x14ac:dyDescent="0.25">
      <c r="A54" t="s">
        <v>1147</v>
      </c>
      <c r="B54" t="s">
        <v>503</v>
      </c>
      <c r="C54">
        <v>4</v>
      </c>
      <c r="E54">
        <v>4</v>
      </c>
      <c r="F54" t="s">
        <v>101</v>
      </c>
      <c r="G54">
        <v>4</v>
      </c>
      <c r="H54" t="s">
        <v>101</v>
      </c>
      <c r="I54">
        <v>4</v>
      </c>
      <c r="J54" t="s">
        <v>101</v>
      </c>
      <c r="K54" s="212"/>
    </row>
    <row r="55" spans="1:11" x14ac:dyDescent="0.25">
      <c r="A55" t="s">
        <v>1147</v>
      </c>
      <c r="B55" t="s">
        <v>504</v>
      </c>
      <c r="C55">
        <v>4</v>
      </c>
      <c r="E55">
        <v>4</v>
      </c>
      <c r="F55" t="s">
        <v>214</v>
      </c>
      <c r="G55">
        <v>4</v>
      </c>
      <c r="H55" t="s">
        <v>214</v>
      </c>
      <c r="I55">
        <v>4</v>
      </c>
      <c r="J55" t="s">
        <v>214</v>
      </c>
      <c r="K55" s="212"/>
    </row>
    <row r="56" spans="1:11" x14ac:dyDescent="0.25">
      <c r="A56" t="s">
        <v>1147</v>
      </c>
      <c r="B56" t="s">
        <v>754</v>
      </c>
      <c r="C56">
        <v>4</v>
      </c>
      <c r="F56"/>
      <c r="H56"/>
      <c r="J56"/>
      <c r="K56" s="212"/>
    </row>
    <row r="57" spans="1:11" x14ac:dyDescent="0.25">
      <c r="A57" t="s">
        <v>1147</v>
      </c>
      <c r="B57" t="s">
        <v>505</v>
      </c>
      <c r="C57">
        <v>4</v>
      </c>
      <c r="E57">
        <v>4</v>
      </c>
      <c r="F57" t="s">
        <v>102</v>
      </c>
      <c r="G57">
        <v>4</v>
      </c>
      <c r="H57" t="s">
        <v>102</v>
      </c>
      <c r="I57">
        <v>4</v>
      </c>
      <c r="J57" t="s">
        <v>102</v>
      </c>
      <c r="K57" s="212"/>
    </row>
    <row r="58" spans="1:11" x14ac:dyDescent="0.25">
      <c r="A58" t="s">
        <v>1147</v>
      </c>
      <c r="B58" t="s">
        <v>506</v>
      </c>
      <c r="C58">
        <v>4</v>
      </c>
      <c r="E58">
        <v>4</v>
      </c>
      <c r="F58" t="s">
        <v>108</v>
      </c>
      <c r="G58">
        <v>4</v>
      </c>
      <c r="H58" t="s">
        <v>108</v>
      </c>
      <c r="I58">
        <v>4</v>
      </c>
      <c r="J58" t="s">
        <v>108</v>
      </c>
      <c r="K58" s="212"/>
    </row>
    <row r="59" spans="1:11" x14ac:dyDescent="0.25">
      <c r="A59" t="s">
        <v>1147</v>
      </c>
      <c r="B59" t="s">
        <v>507</v>
      </c>
      <c r="C59">
        <v>4</v>
      </c>
      <c r="E59">
        <v>4</v>
      </c>
      <c r="F59" t="s">
        <v>376</v>
      </c>
      <c r="G59">
        <v>4</v>
      </c>
      <c r="H59" t="s">
        <v>376</v>
      </c>
      <c r="I59">
        <v>4</v>
      </c>
      <c r="J59" t="s">
        <v>376</v>
      </c>
      <c r="K59" s="212"/>
    </row>
    <row r="60" spans="1:11" x14ac:dyDescent="0.25">
      <c r="A60" t="s">
        <v>1147</v>
      </c>
      <c r="B60" t="s">
        <v>508</v>
      </c>
      <c r="C60">
        <v>4</v>
      </c>
      <c r="E60">
        <v>4</v>
      </c>
      <c r="F60" t="s">
        <v>377</v>
      </c>
      <c r="G60">
        <v>4</v>
      </c>
      <c r="H60" t="s">
        <v>377</v>
      </c>
      <c r="I60">
        <v>4</v>
      </c>
      <c r="J60" t="s">
        <v>377</v>
      </c>
      <c r="K60" s="212"/>
    </row>
    <row r="61" spans="1:11" x14ac:dyDescent="0.25">
      <c r="A61" t="s">
        <v>1147</v>
      </c>
      <c r="B61" t="s">
        <v>827</v>
      </c>
      <c r="C61">
        <v>4</v>
      </c>
      <c r="F61"/>
      <c r="H61"/>
      <c r="J61"/>
      <c r="K61" s="212"/>
    </row>
    <row r="62" spans="1:11" x14ac:dyDescent="0.25">
      <c r="A62" t="s">
        <v>1147</v>
      </c>
      <c r="B62" t="s">
        <v>509</v>
      </c>
      <c r="C62">
        <v>4</v>
      </c>
      <c r="E62">
        <v>4</v>
      </c>
      <c r="F62" t="s">
        <v>392</v>
      </c>
      <c r="G62">
        <v>4</v>
      </c>
      <c r="H62" t="s">
        <v>392</v>
      </c>
      <c r="I62">
        <v>4</v>
      </c>
      <c r="J62" t="s">
        <v>392</v>
      </c>
      <c r="K62" s="212"/>
    </row>
    <row r="63" spans="1:11" x14ac:dyDescent="0.25">
      <c r="A63" t="s">
        <v>1147</v>
      </c>
      <c r="B63" t="s">
        <v>510</v>
      </c>
      <c r="C63">
        <v>4</v>
      </c>
      <c r="E63">
        <v>4</v>
      </c>
      <c r="F63" t="s">
        <v>393</v>
      </c>
      <c r="G63">
        <v>4</v>
      </c>
      <c r="H63" t="s">
        <v>393</v>
      </c>
      <c r="I63">
        <v>4</v>
      </c>
      <c r="J63" t="s">
        <v>393</v>
      </c>
      <c r="K63" s="212"/>
    </row>
    <row r="64" spans="1:11" x14ac:dyDescent="0.25">
      <c r="A64" t="s">
        <v>1147</v>
      </c>
      <c r="B64" t="s">
        <v>753</v>
      </c>
      <c r="C64">
        <v>4</v>
      </c>
      <c r="F64"/>
      <c r="H64"/>
      <c r="J64"/>
      <c r="K64" s="212"/>
    </row>
    <row r="65" spans="1:11" x14ac:dyDescent="0.25">
      <c r="A65" t="s">
        <v>1147</v>
      </c>
      <c r="B65" t="s">
        <v>1115</v>
      </c>
      <c r="C65">
        <v>4</v>
      </c>
      <c r="F65"/>
      <c r="H65"/>
      <c r="J65"/>
      <c r="K65" s="212"/>
    </row>
    <row r="66" spans="1:11" x14ac:dyDescent="0.25">
      <c r="A66" t="s">
        <v>1147</v>
      </c>
      <c r="B66" t="s">
        <v>944</v>
      </c>
      <c r="C66">
        <v>4</v>
      </c>
      <c r="F66"/>
      <c r="H66"/>
      <c r="J66"/>
      <c r="K66" s="212"/>
    </row>
    <row r="67" spans="1:11" x14ac:dyDescent="0.25">
      <c r="A67" t="s">
        <v>1147</v>
      </c>
      <c r="B67" t="s">
        <v>821</v>
      </c>
      <c r="C67">
        <v>4</v>
      </c>
      <c r="F67"/>
      <c r="H67"/>
      <c r="J67"/>
      <c r="K67" s="212"/>
    </row>
    <row r="68" spans="1:11" x14ac:dyDescent="0.25">
      <c r="A68" t="s">
        <v>1147</v>
      </c>
      <c r="B68" t="s">
        <v>829</v>
      </c>
      <c r="C68">
        <v>4</v>
      </c>
      <c r="F68"/>
      <c r="H68"/>
      <c r="J68"/>
      <c r="K68" s="212"/>
    </row>
    <row r="69" spans="1:11" x14ac:dyDescent="0.25">
      <c r="A69" t="s">
        <v>1147</v>
      </c>
      <c r="B69" t="s">
        <v>828</v>
      </c>
      <c r="C69">
        <v>4</v>
      </c>
      <c r="F69"/>
      <c r="H69"/>
      <c r="J69"/>
      <c r="K69" s="212"/>
    </row>
    <row r="70" spans="1:11" x14ac:dyDescent="0.25">
      <c r="A70" t="s">
        <v>1147</v>
      </c>
      <c r="B70" t="s">
        <v>822</v>
      </c>
      <c r="C70">
        <v>4</v>
      </c>
      <c r="F70"/>
      <c r="H70"/>
      <c r="J70"/>
      <c r="K70" s="212"/>
    </row>
    <row r="71" spans="1:11" x14ac:dyDescent="0.25">
      <c r="A71" t="s">
        <v>1147</v>
      </c>
      <c r="B71" t="s">
        <v>830</v>
      </c>
      <c r="C71">
        <v>4</v>
      </c>
      <c r="F71"/>
      <c r="H71"/>
      <c r="J71"/>
      <c r="K71" s="212"/>
    </row>
    <row r="72" spans="1:11" x14ac:dyDescent="0.25">
      <c r="A72" t="s">
        <v>1147</v>
      </c>
      <c r="B72" t="s">
        <v>831</v>
      </c>
      <c r="C72">
        <v>4</v>
      </c>
      <c r="F72"/>
      <c r="H72"/>
      <c r="J72"/>
      <c r="K72" s="212"/>
    </row>
    <row r="73" spans="1:11" x14ac:dyDescent="0.25">
      <c r="A73" t="s">
        <v>1147</v>
      </c>
      <c r="B73" t="s">
        <v>941</v>
      </c>
      <c r="C73">
        <v>4</v>
      </c>
      <c r="F73"/>
      <c r="H73"/>
      <c r="J73"/>
      <c r="K73" s="212"/>
    </row>
    <row r="74" spans="1:11" x14ac:dyDescent="0.25">
      <c r="A74" t="s">
        <v>1147</v>
      </c>
      <c r="B74" t="s">
        <v>942</v>
      </c>
      <c r="C74">
        <v>4</v>
      </c>
      <c r="F74"/>
      <c r="H74"/>
      <c r="J74"/>
      <c r="K74" s="212"/>
    </row>
    <row r="75" spans="1:11" x14ac:dyDescent="0.25">
      <c r="A75" t="s">
        <v>1147</v>
      </c>
      <c r="B75" t="s">
        <v>832</v>
      </c>
      <c r="C75">
        <v>4</v>
      </c>
      <c r="F75"/>
      <c r="H75"/>
      <c r="J75"/>
      <c r="K75" s="212"/>
    </row>
    <row r="76" spans="1:11" x14ac:dyDescent="0.25">
      <c r="A76" t="s">
        <v>1147</v>
      </c>
      <c r="B76" t="s">
        <v>1094</v>
      </c>
      <c r="C76">
        <v>4</v>
      </c>
      <c r="F76"/>
      <c r="H76"/>
      <c r="J76"/>
      <c r="K76" s="212"/>
    </row>
    <row r="77" spans="1:11" x14ac:dyDescent="0.25">
      <c r="A77" t="s">
        <v>1147</v>
      </c>
      <c r="B77" t="s">
        <v>961</v>
      </c>
      <c r="C77">
        <v>4</v>
      </c>
      <c r="F77"/>
      <c r="H77"/>
      <c r="J77"/>
      <c r="K77" s="212"/>
    </row>
    <row r="78" spans="1:11" x14ac:dyDescent="0.25">
      <c r="A78" t="s">
        <v>1147</v>
      </c>
      <c r="B78" t="s">
        <v>820</v>
      </c>
      <c r="C78">
        <v>4</v>
      </c>
      <c r="F78"/>
      <c r="H78"/>
      <c r="J78"/>
      <c r="K78" s="212"/>
    </row>
    <row r="79" spans="1:11" x14ac:dyDescent="0.25">
      <c r="A79" t="s">
        <v>1147</v>
      </c>
      <c r="B79" t="s">
        <v>474</v>
      </c>
      <c r="C79">
        <v>4</v>
      </c>
      <c r="E79">
        <v>4</v>
      </c>
      <c r="F79" t="s">
        <v>617</v>
      </c>
      <c r="G79">
        <v>4</v>
      </c>
      <c r="H79" t="s">
        <v>617</v>
      </c>
      <c r="I79">
        <v>4</v>
      </c>
      <c r="J79" t="s">
        <v>617</v>
      </c>
      <c r="K79" s="212"/>
    </row>
    <row r="80" spans="1:11" x14ac:dyDescent="0.25">
      <c r="A80" t="s">
        <v>1147</v>
      </c>
      <c r="B80" t="s">
        <v>755</v>
      </c>
      <c r="C80">
        <v>4</v>
      </c>
      <c r="F80"/>
      <c r="H80"/>
      <c r="J80"/>
      <c r="K80" s="212"/>
    </row>
    <row r="81" spans="1:11" x14ac:dyDescent="0.25">
      <c r="A81" t="s">
        <v>1147</v>
      </c>
      <c r="B81" t="s">
        <v>756</v>
      </c>
      <c r="C81">
        <v>4</v>
      </c>
      <c r="F81"/>
      <c r="H81"/>
      <c r="J81"/>
      <c r="K81" s="212"/>
    </row>
    <row r="82" spans="1:11" x14ac:dyDescent="0.25">
      <c r="A82" t="s">
        <v>1147</v>
      </c>
      <c r="B82" t="s">
        <v>1095</v>
      </c>
      <c r="C82">
        <v>4</v>
      </c>
      <c r="F82"/>
      <c r="H82"/>
      <c r="J82"/>
      <c r="K82" s="212"/>
    </row>
    <row r="83" spans="1:11" x14ac:dyDescent="0.25">
      <c r="A83" t="s">
        <v>1147</v>
      </c>
      <c r="B83" t="s">
        <v>826</v>
      </c>
      <c r="C83">
        <v>4</v>
      </c>
      <c r="F83"/>
      <c r="H83"/>
      <c r="J83"/>
      <c r="K83" s="212"/>
    </row>
    <row r="84" spans="1:11" x14ac:dyDescent="0.25">
      <c r="A84" t="s">
        <v>1147</v>
      </c>
      <c r="B84" t="s">
        <v>1096</v>
      </c>
      <c r="C84">
        <v>4</v>
      </c>
      <c r="F84"/>
      <c r="H84"/>
      <c r="J84"/>
      <c r="K84" s="212"/>
    </row>
    <row r="85" spans="1:11" x14ac:dyDescent="0.25">
      <c r="A85" t="s">
        <v>1147</v>
      </c>
      <c r="B85" t="s">
        <v>825</v>
      </c>
      <c r="C85">
        <v>4</v>
      </c>
      <c r="F85"/>
      <c r="H85"/>
      <c r="J85"/>
      <c r="K85" s="212"/>
    </row>
    <row r="86" spans="1:11" x14ac:dyDescent="0.25">
      <c r="A86" t="s">
        <v>1147</v>
      </c>
      <c r="B86" t="s">
        <v>712</v>
      </c>
      <c r="C86">
        <v>4</v>
      </c>
      <c r="F86"/>
      <c r="H86"/>
      <c r="J86"/>
      <c r="K86" s="212"/>
    </row>
    <row r="87" spans="1:11" x14ac:dyDescent="0.25">
      <c r="A87" t="s">
        <v>1147</v>
      </c>
      <c r="B87" t="s">
        <v>1116</v>
      </c>
      <c r="C87">
        <v>4</v>
      </c>
      <c r="F87"/>
      <c r="H87"/>
      <c r="J87"/>
      <c r="K87" s="212"/>
    </row>
    <row r="88" spans="1:11" x14ac:dyDescent="0.25">
      <c r="A88" t="s">
        <v>1147</v>
      </c>
      <c r="B88" t="s">
        <v>711</v>
      </c>
      <c r="C88">
        <v>4</v>
      </c>
      <c r="F88"/>
      <c r="H88"/>
      <c r="J88"/>
      <c r="K88" s="212"/>
    </row>
    <row r="89" spans="1:11" x14ac:dyDescent="0.25">
      <c r="A89" t="s">
        <v>1146</v>
      </c>
      <c r="B89" t="s">
        <v>551</v>
      </c>
      <c r="C89">
        <v>4</v>
      </c>
      <c r="E89">
        <v>4</v>
      </c>
      <c r="F89" t="s">
        <v>615</v>
      </c>
      <c r="G89">
        <v>4</v>
      </c>
      <c r="H89" t="s">
        <v>615</v>
      </c>
      <c r="I89">
        <v>4</v>
      </c>
      <c r="J89" t="s">
        <v>615</v>
      </c>
    </row>
    <row r="90" spans="1:11" x14ac:dyDescent="0.25">
      <c r="A90" t="s">
        <v>1146</v>
      </c>
      <c r="B90" t="s">
        <v>481</v>
      </c>
      <c r="C90">
        <v>4</v>
      </c>
      <c r="E90">
        <v>4</v>
      </c>
      <c r="F90" t="s">
        <v>181</v>
      </c>
      <c r="G90">
        <v>4</v>
      </c>
      <c r="H90" t="s">
        <v>181</v>
      </c>
      <c r="I90">
        <v>4</v>
      </c>
      <c r="J90" t="s">
        <v>181</v>
      </c>
    </row>
    <row r="91" spans="1:11" x14ac:dyDescent="0.25">
      <c r="A91" t="s">
        <v>1146</v>
      </c>
      <c r="B91" t="s">
        <v>482</v>
      </c>
      <c r="C91">
        <v>4</v>
      </c>
      <c r="E91">
        <v>4</v>
      </c>
      <c r="F91" t="s">
        <v>16</v>
      </c>
      <c r="G91">
        <v>4</v>
      </c>
      <c r="H91" t="s">
        <v>16</v>
      </c>
      <c r="I91">
        <v>4</v>
      </c>
      <c r="J91" t="s">
        <v>16</v>
      </c>
    </row>
    <row r="92" spans="1:11" x14ac:dyDescent="0.25">
      <c r="A92" t="s">
        <v>1146</v>
      </c>
      <c r="B92" t="s">
        <v>483</v>
      </c>
      <c r="C92">
        <v>4</v>
      </c>
      <c r="E92">
        <v>4</v>
      </c>
      <c r="F92" t="s">
        <v>243</v>
      </c>
      <c r="G92">
        <v>4</v>
      </c>
      <c r="H92" t="s">
        <v>243</v>
      </c>
      <c r="I92">
        <v>4</v>
      </c>
      <c r="J92" t="s">
        <v>243</v>
      </c>
    </row>
    <row r="93" spans="1:11" x14ac:dyDescent="0.25">
      <c r="A93" t="s">
        <v>1146</v>
      </c>
      <c r="B93" t="s">
        <v>484</v>
      </c>
      <c r="C93">
        <v>4</v>
      </c>
      <c r="E93">
        <v>4</v>
      </c>
      <c r="F93" t="s">
        <v>110</v>
      </c>
      <c r="G93">
        <v>4</v>
      </c>
      <c r="H93" t="s">
        <v>110</v>
      </c>
      <c r="I93">
        <v>4</v>
      </c>
      <c r="J93" t="s">
        <v>110</v>
      </c>
    </row>
    <row r="94" spans="1:11" x14ac:dyDescent="0.25">
      <c r="A94" t="s">
        <v>1146</v>
      </c>
      <c r="B94" t="s">
        <v>485</v>
      </c>
      <c r="C94">
        <v>4</v>
      </c>
      <c r="E94">
        <v>4</v>
      </c>
      <c r="F94" t="s">
        <v>183</v>
      </c>
      <c r="G94">
        <v>4</v>
      </c>
      <c r="H94" t="s">
        <v>183</v>
      </c>
      <c r="I94">
        <v>4</v>
      </c>
      <c r="J94" t="s">
        <v>183</v>
      </c>
    </row>
    <row r="95" spans="1:11" x14ac:dyDescent="0.25">
      <c r="A95" t="s">
        <v>1146</v>
      </c>
      <c r="B95" t="s">
        <v>486</v>
      </c>
      <c r="C95">
        <v>4</v>
      </c>
      <c r="E95">
        <v>4</v>
      </c>
      <c r="F95" t="s">
        <v>17</v>
      </c>
      <c r="G95">
        <v>4</v>
      </c>
      <c r="H95" t="s">
        <v>17</v>
      </c>
      <c r="I95">
        <v>4</v>
      </c>
      <c r="J95" t="s">
        <v>17</v>
      </c>
    </row>
    <row r="96" spans="1:11" x14ac:dyDescent="0.25">
      <c r="A96" t="s">
        <v>1146</v>
      </c>
      <c r="B96" t="s">
        <v>487</v>
      </c>
      <c r="C96">
        <v>4</v>
      </c>
      <c r="E96">
        <v>4</v>
      </c>
      <c r="F96" t="s">
        <v>19</v>
      </c>
      <c r="G96">
        <v>4</v>
      </c>
      <c r="H96" t="s">
        <v>19</v>
      </c>
      <c r="I96">
        <v>4</v>
      </c>
      <c r="J96" t="s">
        <v>19</v>
      </c>
    </row>
    <row r="97" spans="1:10" x14ac:dyDescent="0.25">
      <c r="A97" t="s">
        <v>1146</v>
      </c>
      <c r="B97" t="s">
        <v>552</v>
      </c>
      <c r="C97">
        <v>4</v>
      </c>
      <c r="E97">
        <v>4</v>
      </c>
      <c r="F97" t="s">
        <v>189</v>
      </c>
      <c r="G97">
        <v>4</v>
      </c>
      <c r="H97" t="s">
        <v>189</v>
      </c>
      <c r="I97">
        <v>4</v>
      </c>
      <c r="J97" t="s">
        <v>189</v>
      </c>
    </row>
    <row r="98" spans="1:10" x14ac:dyDescent="0.25">
      <c r="A98" t="s">
        <v>1146</v>
      </c>
      <c r="B98" t="s">
        <v>488</v>
      </c>
      <c r="C98">
        <v>4</v>
      </c>
      <c r="E98">
        <v>4</v>
      </c>
      <c r="F98" t="s">
        <v>618</v>
      </c>
      <c r="G98">
        <v>4</v>
      </c>
      <c r="H98" t="s">
        <v>618</v>
      </c>
      <c r="I98">
        <v>4</v>
      </c>
      <c r="J98" t="s">
        <v>618</v>
      </c>
    </row>
    <row r="99" spans="1:10" x14ac:dyDescent="0.25">
      <c r="A99" t="s">
        <v>1146</v>
      </c>
      <c r="B99" t="s">
        <v>544</v>
      </c>
      <c r="C99">
        <v>4</v>
      </c>
      <c r="E99">
        <v>4</v>
      </c>
      <c r="F99" t="s">
        <v>364</v>
      </c>
      <c r="G99">
        <v>4</v>
      </c>
      <c r="H99" t="s">
        <v>364</v>
      </c>
      <c r="I99">
        <v>4</v>
      </c>
      <c r="J99" t="s">
        <v>364</v>
      </c>
    </row>
    <row r="100" spans="1:10" x14ac:dyDescent="0.25">
      <c r="A100" t="s">
        <v>1146</v>
      </c>
      <c r="B100" t="s">
        <v>545</v>
      </c>
      <c r="C100">
        <v>4</v>
      </c>
      <c r="E100">
        <v>4</v>
      </c>
      <c r="F100" t="s">
        <v>151</v>
      </c>
      <c r="G100">
        <v>4</v>
      </c>
      <c r="H100" t="s">
        <v>151</v>
      </c>
      <c r="I100">
        <v>4</v>
      </c>
      <c r="J100" t="s">
        <v>151</v>
      </c>
    </row>
    <row r="101" spans="1:10" x14ac:dyDescent="0.25">
      <c r="A101" t="s">
        <v>1150</v>
      </c>
      <c r="B101" t="s">
        <v>557</v>
      </c>
      <c r="C101">
        <v>4</v>
      </c>
      <c r="E101">
        <v>4</v>
      </c>
      <c r="F101" t="s">
        <v>625</v>
      </c>
      <c r="G101">
        <v>4</v>
      </c>
      <c r="H101" t="s">
        <v>625</v>
      </c>
      <c r="I101">
        <v>4</v>
      </c>
      <c r="J101" t="s">
        <v>625</v>
      </c>
    </row>
    <row r="102" spans="1:10" x14ac:dyDescent="0.25">
      <c r="A102" t="s">
        <v>1150</v>
      </c>
      <c r="B102" t="s">
        <v>523</v>
      </c>
      <c r="C102">
        <v>4</v>
      </c>
      <c r="E102">
        <v>4</v>
      </c>
      <c r="F102" t="s">
        <v>626</v>
      </c>
      <c r="G102">
        <v>4</v>
      </c>
      <c r="H102" t="s">
        <v>626</v>
      </c>
      <c r="I102">
        <v>4</v>
      </c>
      <c r="J102" t="s">
        <v>626</v>
      </c>
    </row>
    <row r="103" spans="1:10" x14ac:dyDescent="0.25">
      <c r="A103" t="s">
        <v>1150</v>
      </c>
      <c r="B103" t="s">
        <v>521</v>
      </c>
      <c r="C103">
        <v>4</v>
      </c>
      <c r="E103">
        <v>4</v>
      </c>
      <c r="F103" t="s">
        <v>11</v>
      </c>
      <c r="G103">
        <v>4</v>
      </c>
      <c r="H103" t="s">
        <v>11</v>
      </c>
      <c r="I103">
        <v>4</v>
      </c>
      <c r="J103" t="s">
        <v>11</v>
      </c>
    </row>
    <row r="104" spans="1:10" x14ac:dyDescent="0.25">
      <c r="A104" t="s">
        <v>1150</v>
      </c>
      <c r="B104" t="s">
        <v>522</v>
      </c>
      <c r="C104">
        <v>4</v>
      </c>
      <c r="E104">
        <v>4</v>
      </c>
      <c r="F104" t="s">
        <v>13</v>
      </c>
      <c r="G104">
        <v>4</v>
      </c>
      <c r="H104" t="s">
        <v>13</v>
      </c>
      <c r="I104">
        <v>4</v>
      </c>
      <c r="J104" t="s">
        <v>13</v>
      </c>
    </row>
    <row r="105" spans="1:10" x14ac:dyDescent="0.25">
      <c r="A105" t="s">
        <v>1150</v>
      </c>
      <c r="B105" t="s">
        <v>524</v>
      </c>
      <c r="C105">
        <v>4</v>
      </c>
      <c r="E105">
        <v>4</v>
      </c>
      <c r="F105" t="s">
        <v>305</v>
      </c>
      <c r="G105">
        <v>4</v>
      </c>
      <c r="H105" t="s">
        <v>305</v>
      </c>
      <c r="I105">
        <v>4</v>
      </c>
      <c r="J105" t="s">
        <v>305</v>
      </c>
    </row>
    <row r="106" spans="1:10" x14ac:dyDescent="0.25">
      <c r="A106" t="s">
        <v>1150</v>
      </c>
      <c r="B106" t="s">
        <v>525</v>
      </c>
      <c r="C106">
        <v>4</v>
      </c>
      <c r="E106">
        <v>4</v>
      </c>
      <c r="F106" t="s">
        <v>306</v>
      </c>
      <c r="G106">
        <v>4</v>
      </c>
      <c r="H106" t="s">
        <v>306</v>
      </c>
      <c r="I106">
        <v>4</v>
      </c>
      <c r="J106" t="s">
        <v>306</v>
      </c>
    </row>
    <row r="107" spans="1:10" x14ac:dyDescent="0.25">
      <c r="A107" t="s">
        <v>1150</v>
      </c>
      <c r="B107" t="s">
        <v>1099</v>
      </c>
      <c r="C107">
        <v>4</v>
      </c>
      <c r="F107"/>
      <c r="H107"/>
      <c r="J107"/>
    </row>
    <row r="108" spans="1:10" x14ac:dyDescent="0.25">
      <c r="A108" t="s">
        <v>1150</v>
      </c>
      <c r="B108" t="s">
        <v>833</v>
      </c>
      <c r="C108">
        <v>4</v>
      </c>
      <c r="F108"/>
      <c r="H108"/>
      <c r="J108"/>
    </row>
    <row r="109" spans="1:10" x14ac:dyDescent="0.25">
      <c r="A109" t="s">
        <v>1148</v>
      </c>
      <c r="B109" t="s">
        <v>555</v>
      </c>
      <c r="C109">
        <v>4</v>
      </c>
      <c r="F109"/>
      <c r="H109"/>
      <c r="J109"/>
    </row>
    <row r="110" spans="1:10" x14ac:dyDescent="0.25">
      <c r="A110" t="s">
        <v>1148</v>
      </c>
      <c r="B110" t="s">
        <v>1097</v>
      </c>
      <c r="C110">
        <v>4</v>
      </c>
      <c r="F110"/>
      <c r="H110"/>
      <c r="J110"/>
    </row>
    <row r="111" spans="1:10" x14ac:dyDescent="0.25">
      <c r="A111" t="s">
        <v>1148</v>
      </c>
      <c r="B111" t="s">
        <v>1117</v>
      </c>
      <c r="C111">
        <v>4</v>
      </c>
      <c r="F111"/>
      <c r="H111"/>
      <c r="J111"/>
    </row>
    <row r="112" spans="1:10" x14ac:dyDescent="0.25">
      <c r="A112" t="s">
        <v>1148</v>
      </c>
      <c r="B112" t="s">
        <v>1118</v>
      </c>
      <c r="C112">
        <v>4</v>
      </c>
      <c r="F112"/>
      <c r="H112"/>
      <c r="J112"/>
    </row>
    <row r="113" spans="1:10" x14ac:dyDescent="0.25">
      <c r="A113" t="s">
        <v>1148</v>
      </c>
      <c r="B113" t="s">
        <v>1119</v>
      </c>
      <c r="C113">
        <v>4</v>
      </c>
      <c r="F113"/>
      <c r="H113"/>
      <c r="J113"/>
    </row>
    <row r="114" spans="1:10" x14ac:dyDescent="0.25">
      <c r="A114" t="s">
        <v>1148</v>
      </c>
      <c r="B114" t="s">
        <v>1120</v>
      </c>
      <c r="C114">
        <v>4</v>
      </c>
      <c r="F114"/>
      <c r="H114"/>
      <c r="J114"/>
    </row>
    <row r="115" spans="1:10" x14ac:dyDescent="0.25">
      <c r="A115" t="s">
        <v>1148</v>
      </c>
      <c r="B115" t="s">
        <v>1098</v>
      </c>
      <c r="C115">
        <v>4</v>
      </c>
      <c r="F115"/>
      <c r="H115"/>
      <c r="J115"/>
    </row>
    <row r="116" spans="1:10" x14ac:dyDescent="0.25">
      <c r="A116" t="s">
        <v>1148</v>
      </c>
      <c r="B116" t="s">
        <v>1121</v>
      </c>
      <c r="C116">
        <v>4</v>
      </c>
      <c r="F116"/>
      <c r="H116"/>
      <c r="J116"/>
    </row>
    <row r="117" spans="1:10" x14ac:dyDescent="0.25">
      <c r="A117" t="s">
        <v>1148</v>
      </c>
      <c r="B117" t="s">
        <v>1122</v>
      </c>
      <c r="C117">
        <v>4</v>
      </c>
      <c r="F117"/>
      <c r="H117"/>
      <c r="J117"/>
    </row>
    <row r="118" spans="1:10" x14ac:dyDescent="0.25">
      <c r="A118" t="s">
        <v>1148</v>
      </c>
      <c r="B118" t="s">
        <v>1123</v>
      </c>
      <c r="C118">
        <v>4</v>
      </c>
      <c r="F118"/>
      <c r="H118"/>
      <c r="J118"/>
    </row>
    <row r="119" spans="1:10" x14ac:dyDescent="0.25">
      <c r="A119" t="s">
        <v>1149</v>
      </c>
      <c r="B119" t="s">
        <v>556</v>
      </c>
      <c r="C119">
        <v>4</v>
      </c>
      <c r="E119">
        <v>4</v>
      </c>
      <c r="F119" t="s">
        <v>624</v>
      </c>
      <c r="G119">
        <v>4</v>
      </c>
      <c r="H119" t="s">
        <v>624</v>
      </c>
      <c r="I119">
        <v>4</v>
      </c>
      <c r="J119" t="s">
        <v>624</v>
      </c>
    </row>
    <row r="120" spans="1:10" x14ac:dyDescent="0.25">
      <c r="A120" t="s">
        <v>1149</v>
      </c>
      <c r="B120" t="s">
        <v>511</v>
      </c>
      <c r="C120">
        <v>4</v>
      </c>
      <c r="E120">
        <v>4</v>
      </c>
      <c r="F120" t="s">
        <v>295</v>
      </c>
      <c r="G120">
        <v>4</v>
      </c>
      <c r="H120" t="s">
        <v>295</v>
      </c>
      <c r="I120">
        <v>4</v>
      </c>
      <c r="J120" t="s">
        <v>295</v>
      </c>
    </row>
    <row r="121" spans="1:10" x14ac:dyDescent="0.25">
      <c r="A121" t="s">
        <v>1149</v>
      </c>
      <c r="B121" t="s">
        <v>512</v>
      </c>
      <c r="C121">
        <v>4</v>
      </c>
      <c r="E121">
        <v>4</v>
      </c>
      <c r="F121" t="s">
        <v>0</v>
      </c>
      <c r="G121">
        <v>4</v>
      </c>
      <c r="H121" t="s">
        <v>0</v>
      </c>
      <c r="I121">
        <v>4</v>
      </c>
      <c r="J121" t="s">
        <v>0</v>
      </c>
    </row>
    <row r="122" spans="1:10" x14ac:dyDescent="0.25">
      <c r="A122" t="s">
        <v>1149</v>
      </c>
      <c r="B122" t="s">
        <v>513</v>
      </c>
      <c r="C122">
        <v>4</v>
      </c>
      <c r="E122">
        <v>4</v>
      </c>
      <c r="F122" t="s">
        <v>1</v>
      </c>
      <c r="G122">
        <v>4</v>
      </c>
      <c r="H122" t="s">
        <v>1</v>
      </c>
      <c r="I122">
        <v>4</v>
      </c>
      <c r="J122" t="s">
        <v>1</v>
      </c>
    </row>
    <row r="123" spans="1:10" x14ac:dyDescent="0.25">
      <c r="A123" t="s">
        <v>1149</v>
      </c>
      <c r="B123" t="s">
        <v>514</v>
      </c>
      <c r="C123">
        <v>4</v>
      </c>
      <c r="E123">
        <v>4</v>
      </c>
      <c r="F123" t="s">
        <v>298</v>
      </c>
      <c r="G123">
        <v>4</v>
      </c>
      <c r="H123" t="s">
        <v>298</v>
      </c>
      <c r="I123">
        <v>4</v>
      </c>
      <c r="J123" t="s">
        <v>298</v>
      </c>
    </row>
    <row r="124" spans="1:10" x14ac:dyDescent="0.25">
      <c r="A124" t="s">
        <v>1149</v>
      </c>
      <c r="B124" t="s">
        <v>516</v>
      </c>
      <c r="C124">
        <v>4</v>
      </c>
      <c r="E124">
        <v>4</v>
      </c>
      <c r="F124" t="s">
        <v>7</v>
      </c>
      <c r="G124">
        <v>4</v>
      </c>
      <c r="H124" t="s">
        <v>7</v>
      </c>
      <c r="I124">
        <v>4</v>
      </c>
      <c r="J124" t="s">
        <v>7</v>
      </c>
    </row>
    <row r="125" spans="1:10" x14ac:dyDescent="0.25">
      <c r="A125" t="s">
        <v>1149</v>
      </c>
      <c r="B125" t="s">
        <v>515</v>
      </c>
      <c r="C125">
        <v>4</v>
      </c>
      <c r="E125">
        <v>4</v>
      </c>
      <c r="F125" t="s">
        <v>2</v>
      </c>
      <c r="G125">
        <v>4</v>
      </c>
      <c r="H125" t="s">
        <v>2</v>
      </c>
      <c r="I125">
        <v>4</v>
      </c>
      <c r="J125" t="s">
        <v>2</v>
      </c>
    </row>
    <row r="126" spans="1:10" x14ac:dyDescent="0.25">
      <c r="A126" t="s">
        <v>1149</v>
      </c>
      <c r="B126" t="s">
        <v>517</v>
      </c>
      <c r="C126">
        <v>4</v>
      </c>
      <c r="E126">
        <v>4</v>
      </c>
      <c r="F126" t="s">
        <v>301</v>
      </c>
      <c r="G126">
        <v>4</v>
      </c>
      <c r="H126" t="s">
        <v>301</v>
      </c>
      <c r="I126">
        <v>4</v>
      </c>
      <c r="J126" t="s">
        <v>301</v>
      </c>
    </row>
    <row r="127" spans="1:10" x14ac:dyDescent="0.25">
      <c r="A127" t="s">
        <v>1149</v>
      </c>
      <c r="B127" t="s">
        <v>518</v>
      </c>
      <c r="C127">
        <v>4</v>
      </c>
      <c r="E127">
        <v>4</v>
      </c>
      <c r="F127" t="s">
        <v>223</v>
      </c>
      <c r="G127">
        <v>4</v>
      </c>
      <c r="H127" t="s">
        <v>223</v>
      </c>
      <c r="I127">
        <v>4</v>
      </c>
      <c r="J127" t="s">
        <v>223</v>
      </c>
    </row>
    <row r="128" spans="1:10" x14ac:dyDescent="0.25">
      <c r="A128" t="s">
        <v>1149</v>
      </c>
      <c r="B128" t="s">
        <v>520</v>
      </c>
      <c r="C128">
        <v>4</v>
      </c>
      <c r="E128">
        <v>4</v>
      </c>
      <c r="F128" t="s">
        <v>225</v>
      </c>
      <c r="G128">
        <v>4</v>
      </c>
      <c r="H128" t="s">
        <v>225</v>
      </c>
      <c r="I128">
        <v>4</v>
      </c>
      <c r="J128" t="s">
        <v>225</v>
      </c>
    </row>
    <row r="129" spans="1:10" x14ac:dyDescent="0.25">
      <c r="A129" t="s">
        <v>1149</v>
      </c>
      <c r="B129" t="s">
        <v>519</v>
      </c>
      <c r="C129">
        <v>4</v>
      </c>
      <c r="E129">
        <v>4</v>
      </c>
      <c r="F129" t="s">
        <v>224</v>
      </c>
      <c r="G129">
        <v>4</v>
      </c>
      <c r="H129" t="s">
        <v>224</v>
      </c>
      <c r="I129">
        <v>4</v>
      </c>
      <c r="J129" t="s">
        <v>224</v>
      </c>
    </row>
    <row r="130" spans="1:10" x14ac:dyDescent="0.25">
      <c r="A130" t="s">
        <v>1149</v>
      </c>
      <c r="B130" t="s">
        <v>945</v>
      </c>
      <c r="C130">
        <v>4</v>
      </c>
      <c r="F130"/>
      <c r="H130"/>
      <c r="J130"/>
    </row>
    <row r="131" spans="1:10" x14ac:dyDescent="0.25">
      <c r="A131" t="s">
        <v>1149</v>
      </c>
      <c r="B131" t="s">
        <v>943</v>
      </c>
      <c r="C131">
        <v>4</v>
      </c>
      <c r="F131"/>
      <c r="H131"/>
      <c r="J131"/>
    </row>
    <row r="132" spans="1:10" x14ac:dyDescent="0.25">
      <c r="A132" t="s">
        <v>1149</v>
      </c>
      <c r="B132" t="s">
        <v>1124</v>
      </c>
      <c r="C132">
        <v>4</v>
      </c>
      <c r="F132"/>
      <c r="H132"/>
      <c r="J132"/>
    </row>
    <row r="133" spans="1:10" x14ac:dyDescent="0.25">
      <c r="A133" t="s">
        <v>1145</v>
      </c>
      <c r="B133" t="s">
        <v>550</v>
      </c>
      <c r="C133">
        <v>4</v>
      </c>
      <c r="E133">
        <v>4</v>
      </c>
      <c r="F133" t="s">
        <v>611</v>
      </c>
      <c r="G133">
        <v>4</v>
      </c>
      <c r="H133" t="s">
        <v>611</v>
      </c>
      <c r="I133">
        <v>4</v>
      </c>
      <c r="J133" t="s">
        <v>611</v>
      </c>
    </row>
    <row r="134" spans="1:10" x14ac:dyDescent="0.25">
      <c r="A134" t="s">
        <v>1145</v>
      </c>
      <c r="B134" t="s">
        <v>475</v>
      </c>
      <c r="C134">
        <v>4</v>
      </c>
      <c r="E134">
        <v>4</v>
      </c>
      <c r="F134" t="s">
        <v>612</v>
      </c>
      <c r="G134">
        <v>4</v>
      </c>
      <c r="H134" t="s">
        <v>612</v>
      </c>
      <c r="I134">
        <v>4</v>
      </c>
      <c r="J134" t="s">
        <v>612</v>
      </c>
    </row>
    <row r="135" spans="1:10" x14ac:dyDescent="0.25">
      <c r="A135" t="s">
        <v>1145</v>
      </c>
      <c r="B135" t="s">
        <v>476</v>
      </c>
      <c r="C135">
        <v>4</v>
      </c>
      <c r="E135">
        <v>4</v>
      </c>
      <c r="F135" t="s">
        <v>55</v>
      </c>
      <c r="G135">
        <v>4</v>
      </c>
      <c r="H135" t="s">
        <v>55</v>
      </c>
      <c r="I135">
        <v>4</v>
      </c>
      <c r="J135" t="s">
        <v>55</v>
      </c>
    </row>
    <row r="136" spans="1:10" x14ac:dyDescent="0.25">
      <c r="A136" t="s">
        <v>1145</v>
      </c>
      <c r="B136" t="s">
        <v>477</v>
      </c>
      <c r="C136">
        <v>4</v>
      </c>
      <c r="E136">
        <v>4</v>
      </c>
      <c r="F136" t="s">
        <v>56</v>
      </c>
      <c r="G136">
        <v>4</v>
      </c>
      <c r="H136" t="s">
        <v>56</v>
      </c>
      <c r="I136">
        <v>4</v>
      </c>
      <c r="J136" t="s">
        <v>56</v>
      </c>
    </row>
    <row r="137" spans="1:10" x14ac:dyDescent="0.25">
      <c r="A137" t="s">
        <v>1145</v>
      </c>
      <c r="B137" t="s">
        <v>478</v>
      </c>
      <c r="C137">
        <v>4</v>
      </c>
      <c r="E137">
        <v>4</v>
      </c>
      <c r="F137" t="s">
        <v>300</v>
      </c>
      <c r="G137">
        <v>4</v>
      </c>
      <c r="H137" t="s">
        <v>300</v>
      </c>
      <c r="I137">
        <v>4</v>
      </c>
      <c r="J137" t="s">
        <v>300</v>
      </c>
    </row>
    <row r="138" spans="1:10" x14ac:dyDescent="0.25">
      <c r="A138" t="s">
        <v>1145</v>
      </c>
      <c r="B138" t="s">
        <v>479</v>
      </c>
      <c r="C138">
        <v>4</v>
      </c>
      <c r="E138">
        <v>4</v>
      </c>
      <c r="F138" t="s">
        <v>614</v>
      </c>
      <c r="G138">
        <v>4</v>
      </c>
      <c r="H138" t="s">
        <v>614</v>
      </c>
      <c r="I138">
        <v>4</v>
      </c>
      <c r="J138" t="s">
        <v>614</v>
      </c>
    </row>
    <row r="139" spans="1:10" x14ac:dyDescent="0.25">
      <c r="A139" t="s">
        <v>1145</v>
      </c>
      <c r="B139" t="s">
        <v>480</v>
      </c>
      <c r="C139">
        <v>4</v>
      </c>
      <c r="E139">
        <v>4</v>
      </c>
      <c r="F139" t="s">
        <v>70</v>
      </c>
      <c r="G139">
        <v>4</v>
      </c>
      <c r="H139" t="s">
        <v>70</v>
      </c>
      <c r="I139">
        <v>4</v>
      </c>
      <c r="J139" t="s">
        <v>70</v>
      </c>
    </row>
    <row r="140" spans="1:10" x14ac:dyDescent="0.25">
      <c r="A140" t="s">
        <v>1145</v>
      </c>
      <c r="B140" t="s">
        <v>940</v>
      </c>
      <c r="C140">
        <v>4</v>
      </c>
      <c r="F140"/>
      <c r="H140"/>
      <c r="J140"/>
    </row>
    <row r="141" spans="1:10" x14ac:dyDescent="0.25">
      <c r="A141" t="s">
        <v>1144</v>
      </c>
      <c r="B141" t="s">
        <v>549</v>
      </c>
      <c r="C141">
        <v>4</v>
      </c>
      <c r="E141">
        <v>4</v>
      </c>
      <c r="F141">
        <v>2</v>
      </c>
      <c r="G141">
        <v>4</v>
      </c>
      <c r="H141">
        <v>2</v>
      </c>
      <c r="I141">
        <v>4</v>
      </c>
      <c r="J141">
        <v>2</v>
      </c>
    </row>
    <row r="142" spans="1:10" x14ac:dyDescent="0.25">
      <c r="A142" t="s">
        <v>1144</v>
      </c>
      <c r="B142" t="s">
        <v>462</v>
      </c>
      <c r="C142">
        <v>4</v>
      </c>
      <c r="E142">
        <v>4</v>
      </c>
      <c r="F142">
        <v>2.1</v>
      </c>
      <c r="G142">
        <v>4</v>
      </c>
      <c r="H142">
        <v>2.1</v>
      </c>
      <c r="I142">
        <v>4</v>
      </c>
      <c r="J142">
        <v>2.1</v>
      </c>
    </row>
    <row r="143" spans="1:10" x14ac:dyDescent="0.25">
      <c r="A143" t="s">
        <v>1144</v>
      </c>
      <c r="B143" t="s">
        <v>463</v>
      </c>
      <c r="C143">
        <v>4</v>
      </c>
      <c r="E143">
        <v>4</v>
      </c>
      <c r="F143" t="s">
        <v>54</v>
      </c>
      <c r="G143">
        <v>4</v>
      </c>
      <c r="H143" t="s">
        <v>54</v>
      </c>
      <c r="I143">
        <v>4</v>
      </c>
      <c r="J143" t="s">
        <v>54</v>
      </c>
    </row>
    <row r="144" spans="1:10" x14ac:dyDescent="0.25">
      <c r="A144" t="s">
        <v>1144</v>
      </c>
      <c r="B144" t="s">
        <v>466</v>
      </c>
      <c r="C144">
        <v>4</v>
      </c>
      <c r="E144">
        <v>4</v>
      </c>
      <c r="F144" t="s">
        <v>109</v>
      </c>
      <c r="G144">
        <v>4</v>
      </c>
      <c r="H144" t="s">
        <v>109</v>
      </c>
      <c r="I144">
        <v>4</v>
      </c>
      <c r="J144" t="s">
        <v>109</v>
      </c>
    </row>
    <row r="145" spans="1:10" x14ac:dyDescent="0.25">
      <c r="A145" t="s">
        <v>1144</v>
      </c>
      <c r="B145" t="s">
        <v>901</v>
      </c>
      <c r="C145">
        <v>4</v>
      </c>
      <c r="F145"/>
      <c r="H145"/>
      <c r="J145"/>
    </row>
    <row r="146" spans="1:10" x14ac:dyDescent="0.25">
      <c r="A146" t="s">
        <v>1144</v>
      </c>
      <c r="B146" t="s">
        <v>900</v>
      </c>
      <c r="C146">
        <v>4</v>
      </c>
      <c r="F146"/>
      <c r="H146"/>
      <c r="J146"/>
    </row>
    <row r="147" spans="1:10" x14ac:dyDescent="0.25">
      <c r="A147" t="s">
        <v>1144</v>
      </c>
      <c r="B147" t="s">
        <v>467</v>
      </c>
      <c r="C147">
        <v>4</v>
      </c>
      <c r="E147">
        <v>4</v>
      </c>
      <c r="F147">
        <v>2.2000000000000002</v>
      </c>
      <c r="G147">
        <v>4</v>
      </c>
      <c r="H147">
        <v>2.2000000000000002</v>
      </c>
      <c r="I147">
        <v>4</v>
      </c>
      <c r="J147">
        <v>2.2000000000000002</v>
      </c>
    </row>
    <row r="148" spans="1:10" x14ac:dyDescent="0.25">
      <c r="A148" t="s">
        <v>1144</v>
      </c>
      <c r="B148" t="s">
        <v>823</v>
      </c>
      <c r="C148">
        <v>4</v>
      </c>
      <c r="F148"/>
      <c r="H148"/>
      <c r="J148"/>
    </row>
    <row r="149" spans="1:10" x14ac:dyDescent="0.25">
      <c r="A149" t="s">
        <v>1144</v>
      </c>
      <c r="B149" t="s">
        <v>469</v>
      </c>
      <c r="C149">
        <v>4</v>
      </c>
      <c r="E149">
        <v>4</v>
      </c>
      <c r="F149" t="s">
        <v>199</v>
      </c>
      <c r="G149">
        <v>4</v>
      </c>
      <c r="H149" t="s">
        <v>199</v>
      </c>
      <c r="I149">
        <v>4</v>
      </c>
      <c r="J149" t="s">
        <v>199</v>
      </c>
    </row>
    <row r="150" spans="1:10" x14ac:dyDescent="0.25">
      <c r="A150" t="s">
        <v>1144</v>
      </c>
      <c r="B150" t="s">
        <v>470</v>
      </c>
      <c r="C150">
        <v>4</v>
      </c>
      <c r="E150">
        <v>4</v>
      </c>
      <c r="F150" t="s">
        <v>200</v>
      </c>
      <c r="G150">
        <v>4</v>
      </c>
      <c r="H150" t="s">
        <v>200</v>
      </c>
      <c r="I150">
        <v>4</v>
      </c>
      <c r="J150" t="s">
        <v>200</v>
      </c>
    </row>
    <row r="151" spans="1:10" x14ac:dyDescent="0.25">
      <c r="A151" t="s">
        <v>1144</v>
      </c>
      <c r="B151" t="s">
        <v>471</v>
      </c>
      <c r="C151">
        <v>4</v>
      </c>
      <c r="E151">
        <v>4</v>
      </c>
      <c r="F151" t="s">
        <v>201</v>
      </c>
      <c r="G151">
        <v>4</v>
      </c>
      <c r="H151" t="s">
        <v>201</v>
      </c>
      <c r="I151">
        <v>4</v>
      </c>
      <c r="J151" t="s">
        <v>201</v>
      </c>
    </row>
    <row r="152" spans="1:10" x14ac:dyDescent="0.25">
      <c r="A152" t="s">
        <v>1144</v>
      </c>
      <c r="B152" t="s">
        <v>1090</v>
      </c>
      <c r="C152">
        <v>4</v>
      </c>
      <c r="F152"/>
      <c r="H152"/>
      <c r="J152"/>
    </row>
    <row r="153" spans="1:10" x14ac:dyDescent="0.25">
      <c r="A153" t="s">
        <v>1144</v>
      </c>
      <c r="B153" t="s">
        <v>464</v>
      </c>
      <c r="C153">
        <v>4</v>
      </c>
      <c r="E153">
        <v>4</v>
      </c>
      <c r="F153" t="s">
        <v>69</v>
      </c>
      <c r="G153">
        <v>4</v>
      </c>
      <c r="H153" t="s">
        <v>69</v>
      </c>
      <c r="I153">
        <v>4</v>
      </c>
      <c r="J153" t="s">
        <v>69</v>
      </c>
    </row>
    <row r="154" spans="1:10" x14ac:dyDescent="0.25">
      <c r="A154" t="s">
        <v>1144</v>
      </c>
      <c r="B154" t="s">
        <v>824</v>
      </c>
      <c r="C154">
        <v>4</v>
      </c>
      <c r="F154"/>
      <c r="H154"/>
      <c r="J154"/>
    </row>
    <row r="155" spans="1:10" x14ac:dyDescent="0.25">
      <c r="A155" t="s">
        <v>1144</v>
      </c>
      <c r="B155" t="s">
        <v>465</v>
      </c>
      <c r="C155">
        <v>4</v>
      </c>
      <c r="E155">
        <v>4</v>
      </c>
      <c r="F155" t="s">
        <v>71</v>
      </c>
      <c r="G155">
        <v>4</v>
      </c>
      <c r="H155" t="s">
        <v>71</v>
      </c>
      <c r="I155">
        <v>4</v>
      </c>
      <c r="J155" t="s">
        <v>71</v>
      </c>
    </row>
    <row r="156" spans="1:10" x14ac:dyDescent="0.25">
      <c r="A156" t="s">
        <v>1144</v>
      </c>
      <c r="B156" t="s">
        <v>1091</v>
      </c>
      <c r="C156">
        <v>4</v>
      </c>
      <c r="F156"/>
      <c r="H156"/>
      <c r="J156"/>
    </row>
    <row r="157" spans="1:10" x14ac:dyDescent="0.25">
      <c r="A157" t="s">
        <v>1144</v>
      </c>
      <c r="B157" t="s">
        <v>468</v>
      </c>
      <c r="C157">
        <v>4</v>
      </c>
      <c r="E157">
        <v>4</v>
      </c>
      <c r="F157" t="s">
        <v>198</v>
      </c>
      <c r="G157">
        <v>4</v>
      </c>
      <c r="H157" t="s">
        <v>198</v>
      </c>
      <c r="I157">
        <v>4</v>
      </c>
      <c r="J157" t="s">
        <v>198</v>
      </c>
    </row>
    <row r="158" spans="1:10" x14ac:dyDescent="0.25">
      <c r="A158" t="s">
        <v>1144</v>
      </c>
      <c r="B158" t="s">
        <v>916</v>
      </c>
      <c r="C158">
        <v>4</v>
      </c>
      <c r="F158"/>
      <c r="H158"/>
      <c r="J158"/>
    </row>
    <row r="159" spans="1:10" x14ac:dyDescent="0.25">
      <c r="A159" t="s">
        <v>1144</v>
      </c>
      <c r="B159" t="s">
        <v>472</v>
      </c>
      <c r="C159">
        <v>4</v>
      </c>
      <c r="E159">
        <v>4</v>
      </c>
      <c r="F159">
        <v>2.4</v>
      </c>
      <c r="G159">
        <v>4</v>
      </c>
      <c r="H159">
        <v>2.4</v>
      </c>
      <c r="I159">
        <v>4</v>
      </c>
      <c r="J159">
        <v>2.4</v>
      </c>
    </row>
    <row r="160" spans="1:10" x14ac:dyDescent="0.25">
      <c r="A160" t="s">
        <v>1144</v>
      </c>
      <c r="B160" t="s">
        <v>713</v>
      </c>
      <c r="C160">
        <v>4</v>
      </c>
      <c r="F160"/>
      <c r="H160"/>
      <c r="J160"/>
    </row>
    <row r="161" spans="1:10" x14ac:dyDescent="0.25">
      <c r="A161" t="s">
        <v>1144</v>
      </c>
      <c r="B161" t="s">
        <v>473</v>
      </c>
      <c r="C161">
        <v>4</v>
      </c>
      <c r="E161">
        <v>4</v>
      </c>
      <c r="F161" t="s">
        <v>204</v>
      </c>
      <c r="G161">
        <v>4</v>
      </c>
      <c r="H161" t="s">
        <v>204</v>
      </c>
      <c r="I161">
        <v>4</v>
      </c>
      <c r="J161" t="s">
        <v>204</v>
      </c>
    </row>
    <row r="162" spans="1:10" x14ac:dyDescent="0.25">
      <c r="A162" t="s">
        <v>1151</v>
      </c>
      <c r="B162" t="s">
        <v>559</v>
      </c>
      <c r="C162">
        <v>4</v>
      </c>
      <c r="E162">
        <v>4</v>
      </c>
      <c r="F162" t="s">
        <v>628</v>
      </c>
      <c r="G162">
        <v>4</v>
      </c>
      <c r="H162" t="s">
        <v>628</v>
      </c>
      <c r="I162">
        <v>4</v>
      </c>
      <c r="J162" t="s">
        <v>628</v>
      </c>
    </row>
    <row r="163" spans="1:10" x14ac:dyDescent="0.25">
      <c r="A163" t="s">
        <v>1151</v>
      </c>
      <c r="B163" t="s">
        <v>546</v>
      </c>
      <c r="C163">
        <v>4</v>
      </c>
      <c r="E163">
        <v>4</v>
      </c>
      <c r="F163" t="s">
        <v>394</v>
      </c>
      <c r="G163">
        <v>4</v>
      </c>
      <c r="H163" t="s">
        <v>394</v>
      </c>
      <c r="I163">
        <v>4</v>
      </c>
      <c r="J163" t="s">
        <v>394</v>
      </c>
    </row>
    <row r="164" spans="1:10" x14ac:dyDescent="0.25">
      <c r="A164" t="s">
        <v>1151</v>
      </c>
      <c r="B164" t="s">
        <v>547</v>
      </c>
      <c r="C164">
        <v>4</v>
      </c>
      <c r="E164">
        <v>4</v>
      </c>
      <c r="F164" t="s">
        <v>89</v>
      </c>
      <c r="G164">
        <v>4</v>
      </c>
      <c r="H164" t="s">
        <v>89</v>
      </c>
      <c r="I164">
        <v>4</v>
      </c>
      <c r="J164" t="s">
        <v>89</v>
      </c>
    </row>
    <row r="165" spans="1:10" x14ac:dyDescent="0.25">
      <c r="A165" t="s">
        <v>1151</v>
      </c>
      <c r="B165" t="s">
        <v>560</v>
      </c>
      <c r="C165">
        <v>4</v>
      </c>
      <c r="E165">
        <v>4</v>
      </c>
      <c r="F165" t="s">
        <v>396</v>
      </c>
      <c r="G165">
        <v>4</v>
      </c>
      <c r="H165" t="s">
        <v>396</v>
      </c>
      <c r="I165">
        <v>4</v>
      </c>
      <c r="J165" t="s">
        <v>396</v>
      </c>
    </row>
    <row r="166" spans="1:10" x14ac:dyDescent="0.25">
      <c r="A166" t="s">
        <v>1151</v>
      </c>
      <c r="B166" t="s">
        <v>561</v>
      </c>
      <c r="C166">
        <v>4</v>
      </c>
      <c r="E166">
        <v>4</v>
      </c>
      <c r="F166" t="s">
        <v>23</v>
      </c>
      <c r="G166">
        <v>4</v>
      </c>
      <c r="H166" t="s">
        <v>23</v>
      </c>
      <c r="I166">
        <v>4</v>
      </c>
      <c r="J166" t="s">
        <v>23</v>
      </c>
    </row>
    <row r="167" spans="1:10" x14ac:dyDescent="0.25">
      <c r="A167" t="s">
        <v>1151</v>
      </c>
      <c r="B167" t="s">
        <v>562</v>
      </c>
      <c r="C167">
        <v>4</v>
      </c>
      <c r="E167">
        <v>4</v>
      </c>
      <c r="F167" t="s">
        <v>111</v>
      </c>
      <c r="G167">
        <v>4</v>
      </c>
      <c r="H167" t="s">
        <v>111</v>
      </c>
      <c r="I167">
        <v>4</v>
      </c>
      <c r="J167" t="s">
        <v>111</v>
      </c>
    </row>
    <row r="168" spans="1:10" x14ac:dyDescent="0.25">
      <c r="A168" t="s">
        <v>1151</v>
      </c>
      <c r="B168" t="s">
        <v>563</v>
      </c>
      <c r="C168">
        <v>4</v>
      </c>
      <c r="E168">
        <v>4</v>
      </c>
      <c r="F168" t="s">
        <v>398</v>
      </c>
      <c r="G168">
        <v>4</v>
      </c>
      <c r="H168" t="s">
        <v>398</v>
      </c>
      <c r="I168">
        <v>4</v>
      </c>
      <c r="J168" t="s">
        <v>398</v>
      </c>
    </row>
    <row r="169" spans="1:10" x14ac:dyDescent="0.25">
      <c r="A169" t="s">
        <v>1151</v>
      </c>
      <c r="B169" t="s">
        <v>564</v>
      </c>
      <c r="C169">
        <v>4</v>
      </c>
      <c r="E169">
        <v>4</v>
      </c>
      <c r="F169" t="s">
        <v>8</v>
      </c>
      <c r="G169">
        <v>4</v>
      </c>
      <c r="H169" t="s">
        <v>8</v>
      </c>
      <c r="I169">
        <v>4</v>
      </c>
      <c r="J169" t="s">
        <v>8</v>
      </c>
    </row>
    <row r="170" spans="1:10" x14ac:dyDescent="0.25">
      <c r="A170" t="s">
        <v>1143</v>
      </c>
      <c r="B170" t="s">
        <v>548</v>
      </c>
      <c r="C170">
        <v>4</v>
      </c>
      <c r="E170">
        <v>4</v>
      </c>
      <c r="F170" t="s">
        <v>607</v>
      </c>
      <c r="G170">
        <v>4</v>
      </c>
      <c r="H170" t="s">
        <v>607</v>
      </c>
      <c r="I170">
        <v>4</v>
      </c>
      <c r="J170" t="s">
        <v>607</v>
      </c>
    </row>
    <row r="171" spans="1:10" x14ac:dyDescent="0.25">
      <c r="A171" t="s">
        <v>1143</v>
      </c>
      <c r="B171" t="s">
        <v>1085</v>
      </c>
      <c r="C171">
        <v>4</v>
      </c>
      <c r="F171"/>
      <c r="H171"/>
      <c r="J171"/>
    </row>
    <row r="172" spans="1:10" x14ac:dyDescent="0.25">
      <c r="A172" t="s">
        <v>1143</v>
      </c>
      <c r="B172" t="s">
        <v>705</v>
      </c>
      <c r="C172">
        <v>4</v>
      </c>
      <c r="F172"/>
      <c r="H172"/>
      <c r="J172"/>
    </row>
    <row r="173" spans="1:10" x14ac:dyDescent="0.25">
      <c r="A173" t="s">
        <v>1143</v>
      </c>
      <c r="B173" t="s">
        <v>1101</v>
      </c>
      <c r="C173">
        <v>4</v>
      </c>
      <c r="F173"/>
      <c r="H173"/>
      <c r="J173"/>
    </row>
    <row r="174" spans="1:10" x14ac:dyDescent="0.25">
      <c r="A174" t="s">
        <v>1143</v>
      </c>
      <c r="B174" t="s">
        <v>1086</v>
      </c>
      <c r="C174">
        <v>4</v>
      </c>
      <c r="F174"/>
      <c r="H174"/>
      <c r="J174"/>
    </row>
    <row r="175" spans="1:10" x14ac:dyDescent="0.25">
      <c r="A175" t="s">
        <v>1143</v>
      </c>
      <c r="B175" t="s">
        <v>708</v>
      </c>
      <c r="C175">
        <v>4</v>
      </c>
      <c r="F175"/>
      <c r="H175"/>
      <c r="J175"/>
    </row>
    <row r="176" spans="1:10" x14ac:dyDescent="0.25">
      <c r="A176" t="s">
        <v>1143</v>
      </c>
      <c r="B176" t="s">
        <v>706</v>
      </c>
      <c r="C176">
        <v>4</v>
      </c>
      <c r="F176"/>
      <c r="H176"/>
      <c r="J176"/>
    </row>
    <row r="177" spans="1:11" x14ac:dyDescent="0.25">
      <c r="A177" t="s">
        <v>1143</v>
      </c>
      <c r="B177" t="s">
        <v>710</v>
      </c>
      <c r="C177">
        <v>4</v>
      </c>
      <c r="F177"/>
      <c r="H177"/>
      <c r="J177"/>
    </row>
    <row r="178" spans="1:11" x14ac:dyDescent="0.25">
      <c r="A178" t="s">
        <v>1143</v>
      </c>
      <c r="B178" t="s">
        <v>707</v>
      </c>
      <c r="C178">
        <v>4</v>
      </c>
      <c r="F178"/>
      <c r="H178"/>
      <c r="J178"/>
    </row>
    <row r="179" spans="1:11" x14ac:dyDescent="0.25">
      <c r="A179" t="s">
        <v>1143</v>
      </c>
      <c r="B179" t="s">
        <v>709</v>
      </c>
      <c r="C179">
        <v>4</v>
      </c>
      <c r="F179"/>
      <c r="H179"/>
      <c r="J179"/>
    </row>
    <row r="180" spans="1:11" x14ac:dyDescent="0.25">
      <c r="A180" t="s">
        <v>1143</v>
      </c>
      <c r="B180" t="s">
        <v>1087</v>
      </c>
      <c r="C180">
        <v>4</v>
      </c>
      <c r="F180"/>
      <c r="H180"/>
      <c r="J180"/>
    </row>
    <row r="181" spans="1:11" x14ac:dyDescent="0.25">
      <c r="A181" t="s">
        <v>1143</v>
      </c>
      <c r="B181" t="s">
        <v>458</v>
      </c>
      <c r="C181">
        <v>4</v>
      </c>
      <c r="E181">
        <v>4</v>
      </c>
      <c r="F181" t="s">
        <v>53</v>
      </c>
      <c r="G181">
        <v>4</v>
      </c>
      <c r="H181" t="s">
        <v>53</v>
      </c>
      <c r="I181">
        <v>4</v>
      </c>
      <c r="J181" t="s">
        <v>53</v>
      </c>
    </row>
    <row r="182" spans="1:11" x14ac:dyDescent="0.25">
      <c r="A182" t="s">
        <v>1143</v>
      </c>
      <c r="B182" t="s">
        <v>1102</v>
      </c>
      <c r="C182">
        <v>4</v>
      </c>
      <c r="F182"/>
      <c r="H182"/>
      <c r="J182"/>
    </row>
    <row r="183" spans="1:11" x14ac:dyDescent="0.25">
      <c r="A183" t="s">
        <v>1143</v>
      </c>
      <c r="B183" t="s">
        <v>1088</v>
      </c>
      <c r="C183">
        <v>4</v>
      </c>
      <c r="F183"/>
      <c r="H183"/>
      <c r="J183"/>
    </row>
    <row r="184" spans="1:11" x14ac:dyDescent="0.25">
      <c r="A184" t="s">
        <v>1143</v>
      </c>
      <c r="B184" t="s">
        <v>459</v>
      </c>
      <c r="C184">
        <v>4</v>
      </c>
      <c r="E184">
        <v>4</v>
      </c>
      <c r="F184" t="s">
        <v>40</v>
      </c>
      <c r="G184">
        <v>4</v>
      </c>
      <c r="H184" t="s">
        <v>40</v>
      </c>
      <c r="I184">
        <v>4</v>
      </c>
      <c r="J184" t="s">
        <v>40</v>
      </c>
    </row>
    <row r="185" spans="1:11" x14ac:dyDescent="0.25">
      <c r="A185" t="s">
        <v>1143</v>
      </c>
      <c r="B185" t="s">
        <v>460</v>
      </c>
      <c r="C185">
        <v>4</v>
      </c>
      <c r="E185">
        <v>4</v>
      </c>
      <c r="F185" t="s">
        <v>41</v>
      </c>
      <c r="G185">
        <v>4</v>
      </c>
      <c r="H185" t="s">
        <v>41</v>
      </c>
      <c r="I185">
        <v>4</v>
      </c>
      <c r="J185" t="s">
        <v>41</v>
      </c>
    </row>
    <row r="186" spans="1:11" x14ac:dyDescent="0.25">
      <c r="A186" t="s">
        <v>1143</v>
      </c>
      <c r="B186" t="s">
        <v>461</v>
      </c>
      <c r="C186">
        <v>4</v>
      </c>
      <c r="E186">
        <v>4</v>
      </c>
      <c r="F186" t="s">
        <v>43</v>
      </c>
      <c r="G186">
        <v>4</v>
      </c>
      <c r="H186" t="s">
        <v>43</v>
      </c>
      <c r="I186">
        <v>4</v>
      </c>
      <c r="J186" t="s">
        <v>43</v>
      </c>
    </row>
    <row r="187" spans="1:11" x14ac:dyDescent="0.25">
      <c r="A187" t="s">
        <v>1143</v>
      </c>
      <c r="B187" t="s">
        <v>1089</v>
      </c>
      <c r="C187">
        <v>4</v>
      </c>
      <c r="F187"/>
      <c r="H187"/>
      <c r="J187"/>
    </row>
    <row r="188" spans="1:11" x14ac:dyDescent="0.25">
      <c r="A188" t="s">
        <v>1143</v>
      </c>
      <c r="B188" t="s">
        <v>1103</v>
      </c>
      <c r="C188">
        <v>4</v>
      </c>
      <c r="F188"/>
      <c r="H188"/>
      <c r="J188"/>
    </row>
    <row r="189" spans="1:11" x14ac:dyDescent="0.25">
      <c r="A189" t="s">
        <v>1143</v>
      </c>
      <c r="B189" t="s">
        <v>1104</v>
      </c>
      <c r="C189">
        <v>4</v>
      </c>
      <c r="F189"/>
      <c r="H189"/>
      <c r="J189"/>
    </row>
    <row r="190" spans="1:11" x14ac:dyDescent="0.25">
      <c r="A190" t="s">
        <v>610</v>
      </c>
      <c r="B190" t="s">
        <v>558</v>
      </c>
      <c r="C190">
        <v>4</v>
      </c>
      <c r="E190">
        <v>4</v>
      </c>
      <c r="F190" t="s">
        <v>627</v>
      </c>
      <c r="G190">
        <v>4</v>
      </c>
      <c r="H190" t="s">
        <v>627</v>
      </c>
      <c r="I190">
        <v>4</v>
      </c>
      <c r="J190" t="s">
        <v>627</v>
      </c>
      <c r="K190" s="212"/>
    </row>
    <row r="191" spans="1:11" x14ac:dyDescent="0.25">
      <c r="A191" t="s">
        <v>610</v>
      </c>
      <c r="B191" t="s">
        <v>526</v>
      </c>
      <c r="C191">
        <v>4</v>
      </c>
      <c r="E191">
        <v>4</v>
      </c>
      <c r="F191" t="s">
        <v>340</v>
      </c>
      <c r="G191">
        <v>4</v>
      </c>
      <c r="H191" t="s">
        <v>340</v>
      </c>
      <c r="I191">
        <v>4</v>
      </c>
      <c r="J191" t="s">
        <v>340</v>
      </c>
      <c r="K191" s="212"/>
    </row>
    <row r="192" spans="1:11" x14ac:dyDescent="0.25">
      <c r="A192" t="s">
        <v>610</v>
      </c>
      <c r="B192" t="s">
        <v>527</v>
      </c>
      <c r="C192">
        <v>4</v>
      </c>
      <c r="E192">
        <v>4</v>
      </c>
      <c r="F192" t="s">
        <v>74</v>
      </c>
      <c r="G192">
        <v>4</v>
      </c>
      <c r="H192" t="s">
        <v>74</v>
      </c>
      <c r="I192">
        <v>4</v>
      </c>
      <c r="J192" t="s">
        <v>74</v>
      </c>
      <c r="K192" s="212"/>
    </row>
    <row r="193" spans="1:11" x14ac:dyDescent="0.25">
      <c r="A193" t="s">
        <v>610</v>
      </c>
      <c r="B193" t="s">
        <v>528</v>
      </c>
      <c r="C193">
        <v>4</v>
      </c>
      <c r="E193">
        <v>4</v>
      </c>
      <c r="F193" t="s">
        <v>76</v>
      </c>
      <c r="G193">
        <v>4</v>
      </c>
      <c r="H193" t="s">
        <v>76</v>
      </c>
      <c r="I193">
        <v>4</v>
      </c>
      <c r="J193" t="s">
        <v>76</v>
      </c>
      <c r="K193" s="212"/>
    </row>
    <row r="194" spans="1:11" x14ac:dyDescent="0.25">
      <c r="A194" t="s">
        <v>610</v>
      </c>
      <c r="B194" t="s">
        <v>529</v>
      </c>
      <c r="C194">
        <v>4</v>
      </c>
      <c r="E194">
        <v>4</v>
      </c>
      <c r="F194" t="s">
        <v>79</v>
      </c>
      <c r="G194">
        <v>4</v>
      </c>
      <c r="H194" t="s">
        <v>79</v>
      </c>
      <c r="I194">
        <v>4</v>
      </c>
      <c r="J194" t="s">
        <v>79</v>
      </c>
      <c r="K194" s="212"/>
    </row>
    <row r="195" spans="1:11" x14ac:dyDescent="0.25">
      <c r="A195" t="s">
        <v>610</v>
      </c>
      <c r="B195" t="s">
        <v>530</v>
      </c>
      <c r="C195">
        <v>4</v>
      </c>
      <c r="E195">
        <v>4</v>
      </c>
      <c r="F195" t="s">
        <v>94</v>
      </c>
      <c r="G195">
        <v>4</v>
      </c>
      <c r="H195" t="s">
        <v>94</v>
      </c>
      <c r="I195">
        <v>4</v>
      </c>
      <c r="J195" t="s">
        <v>94</v>
      </c>
      <c r="K195" s="212"/>
    </row>
    <row r="196" spans="1:11" x14ac:dyDescent="0.25">
      <c r="A196" t="s">
        <v>610</v>
      </c>
      <c r="B196" t="s">
        <v>533</v>
      </c>
      <c r="C196">
        <v>4</v>
      </c>
      <c r="E196">
        <v>4</v>
      </c>
      <c r="F196" t="s">
        <v>80</v>
      </c>
      <c r="G196">
        <v>4</v>
      </c>
      <c r="H196" t="s">
        <v>80</v>
      </c>
      <c r="I196">
        <v>4</v>
      </c>
      <c r="J196" t="s">
        <v>80</v>
      </c>
      <c r="K196" s="212"/>
    </row>
    <row r="197" spans="1:11" x14ac:dyDescent="0.25">
      <c r="A197" t="s">
        <v>610</v>
      </c>
      <c r="B197" t="s">
        <v>760</v>
      </c>
      <c r="C197">
        <v>4</v>
      </c>
      <c r="F197"/>
      <c r="H197"/>
      <c r="J197"/>
      <c r="K197" s="212"/>
    </row>
    <row r="198" spans="1:11" x14ac:dyDescent="0.25">
      <c r="A198" t="s">
        <v>610</v>
      </c>
      <c r="B198" t="s">
        <v>535</v>
      </c>
      <c r="C198">
        <v>4</v>
      </c>
      <c r="E198">
        <v>4</v>
      </c>
      <c r="F198" t="s">
        <v>9</v>
      </c>
      <c r="G198">
        <v>4</v>
      </c>
      <c r="H198" t="s">
        <v>9</v>
      </c>
      <c r="I198">
        <v>4</v>
      </c>
      <c r="J198" t="s">
        <v>9</v>
      </c>
      <c r="K198" s="212"/>
    </row>
    <row r="199" spans="1:11" x14ac:dyDescent="0.25">
      <c r="A199" t="s">
        <v>610</v>
      </c>
      <c r="B199" t="s">
        <v>536</v>
      </c>
      <c r="C199">
        <v>4</v>
      </c>
      <c r="E199">
        <v>4</v>
      </c>
      <c r="F199" t="s">
        <v>95</v>
      </c>
      <c r="G199">
        <v>4</v>
      </c>
      <c r="H199" t="s">
        <v>95</v>
      </c>
      <c r="I199">
        <v>4</v>
      </c>
      <c r="J199" t="s">
        <v>95</v>
      </c>
      <c r="K199" s="212"/>
    </row>
    <row r="200" spans="1:11" x14ac:dyDescent="0.25">
      <c r="A200" t="s">
        <v>610</v>
      </c>
      <c r="B200" t="s">
        <v>537</v>
      </c>
      <c r="C200">
        <v>4</v>
      </c>
      <c r="E200">
        <v>4</v>
      </c>
      <c r="F200" t="s">
        <v>10</v>
      </c>
      <c r="G200">
        <v>4</v>
      </c>
      <c r="H200" t="s">
        <v>10</v>
      </c>
      <c r="I200">
        <v>4</v>
      </c>
      <c r="J200" t="s">
        <v>10</v>
      </c>
      <c r="K200" s="212"/>
    </row>
    <row r="201" spans="1:11" x14ac:dyDescent="0.25">
      <c r="A201" t="s">
        <v>610</v>
      </c>
      <c r="B201" t="s">
        <v>538</v>
      </c>
      <c r="C201">
        <v>4</v>
      </c>
      <c r="E201">
        <v>4</v>
      </c>
      <c r="F201" t="s">
        <v>150</v>
      </c>
      <c r="G201">
        <v>4</v>
      </c>
      <c r="H201" t="s">
        <v>150</v>
      </c>
      <c r="I201">
        <v>4</v>
      </c>
      <c r="J201" t="s">
        <v>150</v>
      </c>
      <c r="K201" s="212"/>
    </row>
    <row r="202" spans="1:11" x14ac:dyDescent="0.25">
      <c r="A202" t="s">
        <v>610</v>
      </c>
      <c r="B202" t="s">
        <v>761</v>
      </c>
      <c r="C202">
        <v>4</v>
      </c>
      <c r="F202"/>
      <c r="H202"/>
      <c r="J202"/>
      <c r="K202" s="212"/>
    </row>
    <row r="203" spans="1:11" x14ac:dyDescent="0.25">
      <c r="A203" t="s">
        <v>610</v>
      </c>
      <c r="B203" t="s">
        <v>762</v>
      </c>
      <c r="C203">
        <v>4</v>
      </c>
      <c r="F203"/>
      <c r="H203"/>
      <c r="J203"/>
      <c r="K203" s="212"/>
    </row>
    <row r="204" spans="1:11" x14ac:dyDescent="0.25">
      <c r="A204" t="s">
        <v>610</v>
      </c>
      <c r="B204" t="s">
        <v>1100</v>
      </c>
      <c r="C204">
        <v>4</v>
      </c>
      <c r="E204">
        <v>4</v>
      </c>
      <c r="F204" t="s">
        <v>360</v>
      </c>
      <c r="G204">
        <v>4</v>
      </c>
      <c r="H204" t="s">
        <v>360</v>
      </c>
      <c r="I204">
        <v>4</v>
      </c>
      <c r="J204" t="s">
        <v>360</v>
      </c>
      <c r="K204" s="212"/>
    </row>
    <row r="205" spans="1:11" x14ac:dyDescent="0.25">
      <c r="A205" t="s">
        <v>610</v>
      </c>
      <c r="B205" t="s">
        <v>531</v>
      </c>
      <c r="C205">
        <v>4</v>
      </c>
      <c r="E205">
        <v>4</v>
      </c>
      <c r="F205" t="s">
        <v>148</v>
      </c>
      <c r="G205">
        <v>4</v>
      </c>
      <c r="H205" t="s">
        <v>148</v>
      </c>
      <c r="I205">
        <v>4</v>
      </c>
      <c r="J205" t="s">
        <v>148</v>
      </c>
      <c r="K205" s="212"/>
    </row>
    <row r="206" spans="1:11" x14ac:dyDescent="0.25">
      <c r="A206" t="s">
        <v>610</v>
      </c>
      <c r="B206" t="s">
        <v>532</v>
      </c>
      <c r="C206">
        <v>4</v>
      </c>
      <c r="E206">
        <v>4</v>
      </c>
      <c r="F206" t="s">
        <v>149</v>
      </c>
      <c r="G206">
        <v>4</v>
      </c>
      <c r="H206" t="s">
        <v>149</v>
      </c>
      <c r="I206">
        <v>4</v>
      </c>
      <c r="J206" t="s">
        <v>149</v>
      </c>
      <c r="K206" s="212"/>
    </row>
    <row r="207" spans="1:11" x14ac:dyDescent="0.25">
      <c r="A207" t="s">
        <v>610</v>
      </c>
      <c r="B207" t="s">
        <v>539</v>
      </c>
      <c r="C207">
        <v>4</v>
      </c>
      <c r="E207">
        <v>4</v>
      </c>
      <c r="F207" t="s">
        <v>360</v>
      </c>
      <c r="G207">
        <v>4</v>
      </c>
      <c r="H207" t="s">
        <v>360</v>
      </c>
      <c r="I207">
        <v>4</v>
      </c>
      <c r="J207" t="s">
        <v>360</v>
      </c>
      <c r="K207" s="212"/>
    </row>
    <row r="208" spans="1:11" x14ac:dyDescent="0.25">
      <c r="A208" t="s">
        <v>610</v>
      </c>
      <c r="B208" t="s">
        <v>763</v>
      </c>
      <c r="C208">
        <v>4</v>
      </c>
      <c r="F208"/>
      <c r="H208"/>
      <c r="J208"/>
      <c r="K208" s="212"/>
    </row>
    <row r="209" spans="1:11" x14ac:dyDescent="0.25">
      <c r="A209" t="s">
        <v>610</v>
      </c>
      <c r="B209" t="s">
        <v>540</v>
      </c>
      <c r="C209">
        <v>4</v>
      </c>
      <c r="E209">
        <v>4</v>
      </c>
      <c r="F209" t="s">
        <v>83</v>
      </c>
      <c r="G209">
        <v>4</v>
      </c>
      <c r="H209" t="s">
        <v>83</v>
      </c>
      <c r="I209">
        <v>4</v>
      </c>
      <c r="J209" t="s">
        <v>83</v>
      </c>
      <c r="K209" s="212"/>
    </row>
    <row r="210" spans="1:11" x14ac:dyDescent="0.25">
      <c r="A210" t="s">
        <v>610</v>
      </c>
      <c r="B210" t="s">
        <v>541</v>
      </c>
      <c r="C210">
        <v>4</v>
      </c>
      <c r="E210">
        <v>4</v>
      </c>
      <c r="F210" t="s">
        <v>84</v>
      </c>
      <c r="G210">
        <v>4</v>
      </c>
      <c r="H210" t="s">
        <v>84</v>
      </c>
      <c r="I210">
        <v>4</v>
      </c>
      <c r="J210" t="s">
        <v>84</v>
      </c>
      <c r="K210" s="212"/>
    </row>
    <row r="211" spans="1:11" x14ac:dyDescent="0.25">
      <c r="A211" t="s">
        <v>610</v>
      </c>
      <c r="B211" t="s">
        <v>542</v>
      </c>
      <c r="C211">
        <v>4</v>
      </c>
      <c r="E211">
        <v>4</v>
      </c>
      <c r="F211" t="s">
        <v>86</v>
      </c>
      <c r="G211">
        <v>4</v>
      </c>
      <c r="H211" t="s">
        <v>86</v>
      </c>
      <c r="I211">
        <v>4</v>
      </c>
      <c r="J211" t="s">
        <v>86</v>
      </c>
      <c r="K211" s="212"/>
    </row>
    <row r="212" spans="1:11" x14ac:dyDescent="0.25">
      <c r="A212" t="s">
        <v>610</v>
      </c>
      <c r="B212" t="s">
        <v>543</v>
      </c>
      <c r="C212">
        <v>4</v>
      </c>
      <c r="E212">
        <v>4</v>
      </c>
      <c r="F212" t="s">
        <v>87</v>
      </c>
      <c r="G212">
        <v>4</v>
      </c>
      <c r="H212" t="s">
        <v>87</v>
      </c>
      <c r="I212">
        <v>4</v>
      </c>
      <c r="J212" t="s">
        <v>87</v>
      </c>
      <c r="K212" s="212"/>
    </row>
    <row r="213" spans="1:11" x14ac:dyDescent="0.25">
      <c r="A213" t="s">
        <v>610</v>
      </c>
      <c r="B213" t="s">
        <v>764</v>
      </c>
      <c r="C213">
        <v>4</v>
      </c>
      <c r="F213"/>
      <c r="H213"/>
      <c r="J213"/>
      <c r="K213" s="212"/>
    </row>
    <row r="214" spans="1:11" x14ac:dyDescent="0.25">
      <c r="A214" t="s">
        <v>610</v>
      </c>
      <c r="B214" t="s">
        <v>534</v>
      </c>
      <c r="C214">
        <v>4</v>
      </c>
      <c r="E214">
        <v>4</v>
      </c>
      <c r="F214" t="s">
        <v>81</v>
      </c>
      <c r="G214">
        <v>4</v>
      </c>
      <c r="H214" t="s">
        <v>81</v>
      </c>
      <c r="I214">
        <v>4</v>
      </c>
      <c r="J214" t="s">
        <v>81</v>
      </c>
      <c r="K214" s="212"/>
    </row>
    <row r="215" spans="1:11" x14ac:dyDescent="0.25">
      <c r="B215"/>
      <c r="F215"/>
      <c r="H215"/>
      <c r="J215"/>
    </row>
    <row r="216" spans="1:11" x14ac:dyDescent="0.25">
      <c r="C216" s="212"/>
      <c r="D216" s="212"/>
      <c r="E216" s="212"/>
      <c r="G216" s="212"/>
      <c r="I216" s="212"/>
    </row>
    <row r="217" spans="1:11" x14ac:dyDescent="0.25">
      <c r="C217" s="212"/>
      <c r="D217" s="212"/>
      <c r="E217" s="212"/>
      <c r="G217" s="212"/>
      <c r="I217" s="212"/>
    </row>
    <row r="218" spans="1:11" ht="13" x14ac:dyDescent="0.3">
      <c r="A218" s="247" t="s">
        <v>691</v>
      </c>
      <c r="C218" s="212"/>
      <c r="D218" s="212"/>
      <c r="E218" s="212"/>
      <c r="G218" s="212"/>
      <c r="I218" s="212"/>
    </row>
    <row r="219" spans="1:11" x14ac:dyDescent="0.25">
      <c r="A219" s="283" t="s">
        <v>114</v>
      </c>
      <c r="C219" s="212"/>
      <c r="D219" s="212"/>
      <c r="E219" s="212"/>
      <c r="G219" s="212"/>
      <c r="I219" s="212"/>
    </row>
    <row r="220" spans="1:11" x14ac:dyDescent="0.25">
      <c r="A220" s="283" t="s">
        <v>692</v>
      </c>
      <c r="C220" s="212"/>
      <c r="D220" s="212"/>
      <c r="E220" s="212"/>
      <c r="G220" s="212"/>
      <c r="I220" s="212"/>
    </row>
    <row r="221" spans="1:11" x14ac:dyDescent="0.25">
      <c r="A221" s="283" t="s">
        <v>693</v>
      </c>
      <c r="C221" s="212"/>
      <c r="D221" s="212"/>
      <c r="E221" s="212"/>
      <c r="G221" s="212"/>
      <c r="I221" s="212"/>
    </row>
    <row r="222" spans="1:11" x14ac:dyDescent="0.25">
      <c r="A222" s="283" t="s">
        <v>115</v>
      </c>
      <c r="C222" s="212"/>
      <c r="D222" s="212"/>
      <c r="E222" s="212"/>
      <c r="G222" s="212"/>
      <c r="I222" s="212"/>
    </row>
    <row r="223" spans="1:11" x14ac:dyDescent="0.25">
      <c r="C223" s="212"/>
      <c r="D223" s="212"/>
      <c r="E223" s="212"/>
      <c r="G223" s="212"/>
      <c r="I223" s="212"/>
    </row>
    <row r="224" spans="1:11" x14ac:dyDescent="0.25">
      <c r="C224" s="212"/>
      <c r="D224" s="212"/>
      <c r="E224" s="212"/>
      <c r="G224" s="212"/>
      <c r="I224" s="212"/>
    </row>
    <row r="225" spans="3:9" x14ac:dyDescent="0.25">
      <c r="C225" s="212"/>
      <c r="D225" s="212"/>
      <c r="E225" s="212"/>
      <c r="G225" s="212"/>
      <c r="I225" s="212"/>
    </row>
    <row r="226" spans="3:9" x14ac:dyDescent="0.25">
      <c r="C226" s="212"/>
      <c r="D226" s="212"/>
      <c r="E226" s="212"/>
      <c r="G226" s="212"/>
      <c r="I226" s="212"/>
    </row>
    <row r="227" spans="3:9" x14ac:dyDescent="0.25">
      <c r="C227" s="212"/>
      <c r="D227" s="212"/>
      <c r="E227" s="212"/>
      <c r="G227" s="212"/>
      <c r="I227" s="212"/>
    </row>
    <row r="228" spans="3:9" x14ac:dyDescent="0.25">
      <c r="C228" s="212"/>
      <c r="D228" s="212"/>
      <c r="E228" s="212"/>
      <c r="G228" s="212"/>
      <c r="I228" s="212"/>
    </row>
    <row r="229" spans="3:9" x14ac:dyDescent="0.25">
      <c r="C229" s="212"/>
      <c r="D229" s="212"/>
      <c r="E229" s="212"/>
      <c r="G229" s="212"/>
      <c r="I229" s="212"/>
    </row>
    <row r="230" spans="3:9" x14ac:dyDescent="0.25">
      <c r="C230" s="212"/>
      <c r="D230" s="212"/>
      <c r="E230" s="212"/>
      <c r="G230" s="212"/>
      <c r="I230" s="212"/>
    </row>
    <row r="231" spans="3:9" x14ac:dyDescent="0.25">
      <c r="C231" s="212"/>
      <c r="D231" s="212"/>
      <c r="E231" s="212"/>
      <c r="G231" s="212"/>
      <c r="I231" s="212"/>
    </row>
    <row r="232" spans="3:9" x14ac:dyDescent="0.25">
      <c r="C232" s="212"/>
      <c r="D232" s="212"/>
      <c r="E232" s="212"/>
      <c r="G232" s="212"/>
      <c r="I232" s="212"/>
    </row>
    <row r="233" spans="3:9" x14ac:dyDescent="0.25">
      <c r="C233" s="212"/>
      <c r="D233" s="212"/>
      <c r="E233" s="212"/>
      <c r="G233" s="212"/>
      <c r="I233" s="212"/>
    </row>
    <row r="234" spans="3:9" x14ac:dyDescent="0.25">
      <c r="C234" s="212"/>
      <c r="D234" s="212"/>
      <c r="E234" s="212"/>
      <c r="G234" s="212"/>
      <c r="I234" s="212"/>
    </row>
    <row r="235" spans="3:9" x14ac:dyDescent="0.25">
      <c r="C235" s="212"/>
      <c r="D235" s="212"/>
      <c r="E235" s="212"/>
      <c r="G235" s="212"/>
      <c r="I235" s="212"/>
    </row>
    <row r="236" spans="3:9" x14ac:dyDescent="0.25">
      <c r="C236" s="212"/>
      <c r="D236" s="212"/>
      <c r="E236" s="212"/>
      <c r="G236" s="212"/>
      <c r="I236" s="212"/>
    </row>
    <row r="237" spans="3:9" x14ac:dyDescent="0.25">
      <c r="C237" s="212"/>
      <c r="D237" s="212"/>
      <c r="E237" s="212"/>
      <c r="G237" s="212"/>
      <c r="I237" s="212"/>
    </row>
    <row r="238" spans="3:9" x14ac:dyDescent="0.25">
      <c r="C238" s="212"/>
      <c r="D238" s="212"/>
      <c r="E238" s="212"/>
      <c r="G238" s="212"/>
      <c r="I238" s="212"/>
    </row>
  </sheetData>
  <sheetProtection formatColumns="0" formatRows="0"/>
  <sortState ref="A29:K189">
    <sortCondition ref="A29:A189"/>
  </sortState>
  <mergeCells count="1">
    <mergeCell ref="A1:Q1"/>
  </mergeCell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D1"/>
  <sheetViews>
    <sheetView workbookViewId="0">
      <selection activeCell="C1" sqref="C1"/>
    </sheetView>
  </sheetViews>
  <sheetFormatPr defaultRowHeight="12.5" x14ac:dyDescent="0.25"/>
  <cols>
    <col min="3" max="3" width="18.54296875" customWidth="1"/>
    <col min="4" max="4" width="50.453125" customWidth="1"/>
  </cols>
  <sheetData>
    <row r="1" spans="1:4" ht="26" x14ac:dyDescent="0.3">
      <c r="A1" s="247" t="s">
        <v>919</v>
      </c>
      <c r="B1" s="366" t="s">
        <v>920</v>
      </c>
      <c r="C1" s="247" t="s">
        <v>921</v>
      </c>
      <c r="D1" s="247" t="s">
        <v>922</v>
      </c>
    </row>
  </sheetData>
  <sheetProtection formatColumns="0" formatRows="0"/>
  <pageMargins left="0.7" right="0.7" top="0.75" bottom="0.75" header="0.3" footer="0.3"/>
  <pageSetup orientation="portrait" r:id="rId1"/>
  <headerFooter>
    <oddHeader>&amp;L&amp;F&amp;C&amp;A&amp;R&amp;D</oddHeader>
    <oddFooter>&amp;C&amp;P of &amp;N</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autoPageBreaks="0" fitToPage="1"/>
  </sheetPr>
  <dimension ref="A1:W22"/>
  <sheetViews>
    <sheetView workbookViewId="0">
      <selection activeCell="D22" sqref="D22"/>
    </sheetView>
  </sheetViews>
  <sheetFormatPr defaultRowHeight="12.5" x14ac:dyDescent="0.25"/>
  <cols>
    <col min="1" max="1" width="12.453125" style="98" customWidth="1"/>
    <col min="2" max="2" width="17.7265625" customWidth="1"/>
    <col min="3" max="3" width="51.1796875" customWidth="1"/>
    <col min="4" max="4" width="6.54296875" customWidth="1"/>
  </cols>
  <sheetData>
    <row r="1" spans="1:23" ht="23.25" customHeight="1" x14ac:dyDescent="0.25">
      <c r="A1" s="634" t="s">
        <v>346</v>
      </c>
      <c r="B1" s="634"/>
      <c r="C1" s="634"/>
      <c r="D1" s="634"/>
      <c r="E1" s="95"/>
      <c r="F1" s="96"/>
      <c r="G1" s="4"/>
      <c r="I1" s="100"/>
      <c r="J1" s="100"/>
      <c r="K1" s="100"/>
      <c r="L1" s="100"/>
      <c r="M1" s="100"/>
      <c r="N1" s="100"/>
      <c r="O1" s="100"/>
      <c r="P1" s="100"/>
      <c r="Q1" s="100"/>
      <c r="R1" s="100"/>
      <c r="S1" s="100"/>
      <c r="T1" s="100"/>
      <c r="U1" s="100"/>
      <c r="V1" s="101"/>
      <c r="W1" s="101"/>
    </row>
    <row r="2" spans="1:23" s="97" customFormat="1" ht="21" customHeight="1" x14ac:dyDescent="0.35">
      <c r="A2" s="102" t="s">
        <v>342</v>
      </c>
      <c r="B2" s="103" t="s">
        <v>266</v>
      </c>
      <c r="C2" s="103" t="s">
        <v>347</v>
      </c>
      <c r="D2" s="103" t="s">
        <v>343</v>
      </c>
    </row>
    <row r="3" spans="1:23" x14ac:dyDescent="0.25">
      <c r="A3" s="104" t="s">
        <v>349</v>
      </c>
      <c r="B3" s="94" t="s">
        <v>1156</v>
      </c>
      <c r="C3" s="70" t="s">
        <v>739</v>
      </c>
      <c r="D3" s="73" t="s">
        <v>344</v>
      </c>
    </row>
    <row r="4" spans="1:23" x14ac:dyDescent="0.25">
      <c r="A4" s="104" t="s">
        <v>350</v>
      </c>
      <c r="B4" s="94" t="s">
        <v>1156</v>
      </c>
      <c r="C4" s="70" t="s">
        <v>1067</v>
      </c>
      <c r="D4" s="73" t="s">
        <v>344</v>
      </c>
    </row>
    <row r="5" spans="1:23" x14ac:dyDescent="0.25">
      <c r="A5" s="104" t="s">
        <v>816</v>
      </c>
      <c r="B5" s="94" t="s">
        <v>1156</v>
      </c>
      <c r="C5" s="70" t="s">
        <v>817</v>
      </c>
      <c r="D5" s="73" t="s">
        <v>344</v>
      </c>
    </row>
    <row r="6" spans="1:23" x14ac:dyDescent="0.25">
      <c r="A6" s="104" t="s">
        <v>818</v>
      </c>
      <c r="B6" s="94" t="s">
        <v>1156</v>
      </c>
      <c r="C6" s="70" t="s">
        <v>819</v>
      </c>
      <c r="D6" s="73" t="s">
        <v>344</v>
      </c>
    </row>
    <row r="7" spans="1:23" x14ac:dyDescent="0.25">
      <c r="A7" s="348" t="s">
        <v>907</v>
      </c>
      <c r="B7" s="94" t="s">
        <v>1156</v>
      </c>
      <c r="C7" s="349" t="s">
        <v>908</v>
      </c>
      <c r="D7" s="350" t="s">
        <v>344</v>
      </c>
    </row>
    <row r="8" spans="1:23" x14ac:dyDescent="0.25">
      <c r="A8" s="104" t="s">
        <v>352</v>
      </c>
      <c r="B8" s="94" t="s">
        <v>1157</v>
      </c>
      <c r="C8" s="70" t="s">
        <v>959</v>
      </c>
      <c r="D8" s="73" t="s">
        <v>344</v>
      </c>
    </row>
    <row r="9" spans="1:23" x14ac:dyDescent="0.25">
      <c r="A9" s="104" t="s">
        <v>795</v>
      </c>
      <c r="B9" s="94" t="s">
        <v>1157</v>
      </c>
      <c r="C9" s="70" t="s">
        <v>777</v>
      </c>
      <c r="D9" s="73" t="s">
        <v>344</v>
      </c>
    </row>
    <row r="10" spans="1:23" x14ac:dyDescent="0.25">
      <c r="A10" s="348" t="s">
        <v>957</v>
      </c>
      <c r="B10" s="94" t="s">
        <v>1157</v>
      </c>
      <c r="C10" s="349" t="s">
        <v>958</v>
      </c>
      <c r="D10" s="350" t="s">
        <v>344</v>
      </c>
    </row>
    <row r="11" spans="1:23" x14ac:dyDescent="0.25">
      <c r="A11" s="104" t="s">
        <v>791</v>
      </c>
      <c r="B11" s="94" t="s">
        <v>1158</v>
      </c>
      <c r="C11" s="70" t="s">
        <v>792</v>
      </c>
      <c r="D11" s="73" t="s">
        <v>344</v>
      </c>
    </row>
    <row r="12" spans="1:23" x14ac:dyDescent="0.25">
      <c r="A12" s="348" t="s">
        <v>1108</v>
      </c>
      <c r="B12" s="94" t="s">
        <v>1158</v>
      </c>
      <c r="C12" s="349" t="s">
        <v>1109</v>
      </c>
      <c r="D12" s="350" t="s">
        <v>344</v>
      </c>
    </row>
    <row r="13" spans="1:23" x14ac:dyDescent="0.25">
      <c r="A13" s="99" t="s">
        <v>353</v>
      </c>
      <c r="B13" s="94" t="s">
        <v>1159</v>
      </c>
      <c r="C13" s="70" t="s">
        <v>740</v>
      </c>
      <c r="D13" s="73" t="s">
        <v>344</v>
      </c>
    </row>
    <row r="14" spans="1:23" x14ac:dyDescent="0.25">
      <c r="A14" s="99" t="s">
        <v>357</v>
      </c>
      <c r="B14" s="94" t="s">
        <v>1159</v>
      </c>
      <c r="C14" s="70" t="s">
        <v>741</v>
      </c>
      <c r="D14" s="73" t="s">
        <v>344</v>
      </c>
    </row>
    <row r="15" spans="1:23" x14ac:dyDescent="0.25">
      <c r="A15" s="99" t="s">
        <v>354</v>
      </c>
      <c r="B15" s="94" t="s">
        <v>345</v>
      </c>
      <c r="C15" s="70" t="s">
        <v>766</v>
      </c>
      <c r="D15" s="73" t="s">
        <v>344</v>
      </c>
    </row>
    <row r="16" spans="1:23" x14ac:dyDescent="0.25">
      <c r="A16" s="99" t="s">
        <v>355</v>
      </c>
      <c r="B16" s="94" t="s">
        <v>345</v>
      </c>
      <c r="C16" s="70" t="s">
        <v>767</v>
      </c>
      <c r="D16" s="73" t="s">
        <v>344</v>
      </c>
    </row>
    <row r="17" spans="1:4" x14ac:dyDescent="0.25">
      <c r="A17" s="104" t="s">
        <v>356</v>
      </c>
      <c r="B17" s="94" t="s">
        <v>345</v>
      </c>
      <c r="C17" s="70" t="s">
        <v>768</v>
      </c>
      <c r="D17" s="73" t="s">
        <v>344</v>
      </c>
    </row>
    <row r="18" spans="1:4" ht="25" x14ac:dyDescent="0.25">
      <c r="A18" s="104" t="s">
        <v>645</v>
      </c>
      <c r="B18" s="94" t="s">
        <v>345</v>
      </c>
      <c r="C18" s="70" t="s">
        <v>769</v>
      </c>
      <c r="D18" s="73" t="s">
        <v>344</v>
      </c>
    </row>
    <row r="19" spans="1:4" x14ac:dyDescent="0.25">
      <c r="A19" s="104" t="s">
        <v>770</v>
      </c>
      <c r="B19" s="94" t="s">
        <v>345</v>
      </c>
      <c r="C19" s="70" t="s">
        <v>771</v>
      </c>
      <c r="D19" s="73" t="s">
        <v>344</v>
      </c>
    </row>
    <row r="20" spans="1:4" ht="25" x14ac:dyDescent="0.25">
      <c r="A20" s="104" t="s">
        <v>772</v>
      </c>
      <c r="B20" s="94" t="s">
        <v>345</v>
      </c>
      <c r="C20" s="70" t="s">
        <v>773</v>
      </c>
      <c r="D20" s="73" t="s">
        <v>344</v>
      </c>
    </row>
    <row r="21" spans="1:4" ht="25" x14ac:dyDescent="0.25">
      <c r="A21" s="104" t="s">
        <v>774</v>
      </c>
      <c r="B21" s="94" t="s">
        <v>345</v>
      </c>
      <c r="C21" s="70" t="s">
        <v>775</v>
      </c>
      <c r="D21" s="73" t="s">
        <v>344</v>
      </c>
    </row>
    <row r="22" spans="1:4" x14ac:dyDescent="0.25">
      <c r="A22" s="104" t="s">
        <v>776</v>
      </c>
      <c r="B22" s="94" t="s">
        <v>345</v>
      </c>
      <c r="C22" s="70" t="s">
        <v>793</v>
      </c>
      <c r="D22" s="73" t="s">
        <v>344</v>
      </c>
    </row>
  </sheetData>
  <mergeCells count="1">
    <mergeCell ref="A1:D1"/>
  </mergeCells>
  <hyperlinks>
    <hyperlink ref="D3" r:id="rId1"/>
    <hyperlink ref="D4" r:id="rId2"/>
    <hyperlink ref="D8" r:id="rId3"/>
    <hyperlink ref="D13" r:id="rId4"/>
    <hyperlink ref="D14" r:id="rId5"/>
    <hyperlink ref="D15" r:id="rId6"/>
    <hyperlink ref="D16" r:id="rId7"/>
    <hyperlink ref="D17" r:id="rId8"/>
    <hyperlink ref="D18" r:id="rId9"/>
    <hyperlink ref="D21" r:id="rId10"/>
    <hyperlink ref="D19" r:id="rId11"/>
    <hyperlink ref="D20" r:id="rId12"/>
    <hyperlink ref="D9" r:id="rId13"/>
    <hyperlink ref="D22" r:id="rId14"/>
    <hyperlink ref="D11" r:id="rId15"/>
    <hyperlink ref="D5" r:id="rId16"/>
    <hyperlink ref="D6" r:id="rId17"/>
    <hyperlink ref="D7" r:id="rId18"/>
    <hyperlink ref="D10" r:id="rId19"/>
    <hyperlink ref="D12" r:id="rId20"/>
  </hyperlinks>
  <pageMargins left="0.7" right="0.7" top="0.75" bottom="0.75" header="0.3" footer="0.3"/>
  <pageSetup fitToHeight="100" orientation="landscape" r:id="rId21"/>
  <headerFooter>
    <oddHeader>&amp;L&amp;F&amp;C&amp;A&amp;R&amp;D</oddHeader>
    <oddFooter>&amp;C&amp;P of &amp;N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autoPageBreaks="0" fitToPage="1"/>
  </sheetPr>
  <dimension ref="A1:D172"/>
  <sheetViews>
    <sheetView tabSelected="1" topLeftCell="A84" zoomScale="120" zoomScaleNormal="75" workbookViewId="0">
      <selection activeCell="C97" sqref="C97"/>
    </sheetView>
  </sheetViews>
  <sheetFormatPr defaultRowHeight="12.5" x14ac:dyDescent="0.25"/>
  <cols>
    <col min="1" max="1" width="10.54296875" bestFit="1" customWidth="1"/>
    <col min="2" max="2" width="10.81640625" bestFit="1" customWidth="1"/>
    <col min="3" max="3" width="102.453125" customWidth="1"/>
    <col min="4" max="4" width="22" customWidth="1"/>
  </cols>
  <sheetData>
    <row r="1" spans="1:4" ht="17.5" x14ac:dyDescent="0.35">
      <c r="A1" s="542" t="s">
        <v>668</v>
      </c>
      <c r="B1" s="542"/>
      <c r="C1" s="542"/>
      <c r="D1" s="542"/>
    </row>
    <row r="2" spans="1:4" ht="17.5" x14ac:dyDescent="0.35">
      <c r="A2" s="93" t="s">
        <v>114</v>
      </c>
      <c r="B2" s="60" t="s">
        <v>115</v>
      </c>
      <c r="C2" s="55" t="s">
        <v>116</v>
      </c>
      <c r="D2" s="55" t="s">
        <v>117</v>
      </c>
    </row>
    <row r="3" spans="1:4" ht="87.5" x14ac:dyDescent="0.25">
      <c r="A3" s="356" t="s">
        <v>1138</v>
      </c>
      <c r="B3" s="340">
        <v>42878</v>
      </c>
      <c r="C3" s="341" t="s">
        <v>1213</v>
      </c>
      <c r="D3" s="357" t="s">
        <v>699</v>
      </c>
    </row>
    <row r="4" spans="1:4" x14ac:dyDescent="0.25">
      <c r="A4" s="356" t="s">
        <v>1136</v>
      </c>
      <c r="B4" s="340">
        <v>42845</v>
      </c>
      <c r="C4" s="341" t="s">
        <v>1137</v>
      </c>
      <c r="D4" s="357" t="s">
        <v>699</v>
      </c>
    </row>
    <row r="5" spans="1:4" x14ac:dyDescent="0.25">
      <c r="A5" s="356" t="s">
        <v>1134</v>
      </c>
      <c r="B5" s="340">
        <v>42837</v>
      </c>
      <c r="C5" s="341" t="s">
        <v>1135</v>
      </c>
      <c r="D5" s="357" t="s">
        <v>699</v>
      </c>
    </row>
    <row r="6" spans="1:4" x14ac:dyDescent="0.25">
      <c r="A6" s="356" t="s">
        <v>1132</v>
      </c>
      <c r="B6" s="340">
        <v>42836</v>
      </c>
      <c r="C6" s="341" t="s">
        <v>1133</v>
      </c>
      <c r="D6" s="357" t="s">
        <v>699</v>
      </c>
    </row>
    <row r="7" spans="1:4" ht="37.5" x14ac:dyDescent="0.25">
      <c r="A7" s="356" t="s">
        <v>1130</v>
      </c>
      <c r="B7" s="340">
        <v>42831</v>
      </c>
      <c r="C7" s="341" t="s">
        <v>1131</v>
      </c>
      <c r="D7" s="357" t="s">
        <v>699</v>
      </c>
    </row>
    <row r="8" spans="1:4" ht="50" x14ac:dyDescent="0.25">
      <c r="A8" s="356" t="s">
        <v>1128</v>
      </c>
      <c r="B8" s="340">
        <v>42824</v>
      </c>
      <c r="C8" s="341" t="s">
        <v>1129</v>
      </c>
      <c r="D8" s="357" t="s">
        <v>699</v>
      </c>
    </row>
    <row r="9" spans="1:4" ht="337.5" x14ac:dyDescent="0.25">
      <c r="A9" s="356" t="s">
        <v>966</v>
      </c>
      <c r="B9" s="340">
        <v>42811</v>
      </c>
      <c r="C9" s="341" t="s">
        <v>1125</v>
      </c>
      <c r="D9" s="357" t="s">
        <v>699</v>
      </c>
    </row>
    <row r="10" spans="1:4" ht="112.5" x14ac:dyDescent="0.25">
      <c r="A10" s="356" t="s">
        <v>962</v>
      </c>
      <c r="B10" s="340">
        <v>42733</v>
      </c>
      <c r="C10" s="341" t="s">
        <v>963</v>
      </c>
      <c r="D10" s="357" t="s">
        <v>699</v>
      </c>
    </row>
    <row r="11" spans="1:4" x14ac:dyDescent="0.25">
      <c r="A11" s="356" t="s">
        <v>964</v>
      </c>
      <c r="B11" s="340">
        <v>42733</v>
      </c>
      <c r="C11" s="341" t="s">
        <v>965</v>
      </c>
      <c r="D11" s="357" t="s">
        <v>699</v>
      </c>
    </row>
    <row r="12" spans="1:4" x14ac:dyDescent="0.25">
      <c r="A12" s="356" t="s">
        <v>955</v>
      </c>
      <c r="B12" s="340">
        <v>42733</v>
      </c>
      <c r="C12" s="341" t="s">
        <v>956</v>
      </c>
      <c r="D12" s="357" t="s">
        <v>699</v>
      </c>
    </row>
    <row r="13" spans="1:4" ht="62.5" x14ac:dyDescent="0.25">
      <c r="A13" s="356" t="s">
        <v>950</v>
      </c>
      <c r="B13" s="340">
        <v>42733</v>
      </c>
      <c r="C13" s="341" t="s">
        <v>954</v>
      </c>
      <c r="D13" s="357" t="s">
        <v>699</v>
      </c>
    </row>
    <row r="14" spans="1:4" x14ac:dyDescent="0.25">
      <c r="A14" s="356" t="s">
        <v>948</v>
      </c>
      <c r="B14" s="340">
        <v>42601</v>
      </c>
      <c r="C14" s="341" t="s">
        <v>949</v>
      </c>
      <c r="D14" s="357" t="s">
        <v>699</v>
      </c>
    </row>
    <row r="15" spans="1:4" ht="262.5" x14ac:dyDescent="0.25">
      <c r="A15" s="356" t="s">
        <v>946</v>
      </c>
      <c r="B15" s="340">
        <v>42584</v>
      </c>
      <c r="C15" s="341" t="s">
        <v>947</v>
      </c>
      <c r="D15" s="357" t="s">
        <v>699</v>
      </c>
    </row>
    <row r="16" spans="1:4" x14ac:dyDescent="0.25">
      <c r="A16" s="356" t="s">
        <v>938</v>
      </c>
      <c r="B16" s="340">
        <v>42580</v>
      </c>
      <c r="C16" s="341" t="s">
        <v>937</v>
      </c>
      <c r="D16" s="357" t="s">
        <v>699</v>
      </c>
    </row>
    <row r="17" spans="1:4" ht="166.5" customHeight="1" x14ac:dyDescent="0.25">
      <c r="A17" s="356" t="s">
        <v>935</v>
      </c>
      <c r="B17" s="340">
        <v>42578</v>
      </c>
      <c r="C17" s="341" t="s">
        <v>936</v>
      </c>
      <c r="D17" s="357" t="s">
        <v>699</v>
      </c>
    </row>
    <row r="18" spans="1:4" x14ac:dyDescent="0.25">
      <c r="A18" s="356" t="s">
        <v>932</v>
      </c>
      <c r="B18" s="340">
        <v>42346</v>
      </c>
      <c r="C18" s="341" t="s">
        <v>933</v>
      </c>
      <c r="D18" s="357" t="s">
        <v>699</v>
      </c>
    </row>
    <row r="19" spans="1:4" ht="100" x14ac:dyDescent="0.25">
      <c r="A19" s="356" t="s">
        <v>930</v>
      </c>
      <c r="B19" s="340">
        <v>42346</v>
      </c>
      <c r="C19" s="341" t="s">
        <v>931</v>
      </c>
      <c r="D19" s="357" t="s">
        <v>699</v>
      </c>
    </row>
    <row r="20" spans="1:4" ht="37.5" x14ac:dyDescent="0.25">
      <c r="A20" s="356" t="s">
        <v>928</v>
      </c>
      <c r="B20" s="340">
        <v>42339</v>
      </c>
      <c r="C20" s="341" t="s">
        <v>929</v>
      </c>
      <c r="D20" s="357" t="s">
        <v>699</v>
      </c>
    </row>
    <row r="21" spans="1:4" ht="112.5" x14ac:dyDescent="0.25">
      <c r="A21" s="356" t="s">
        <v>918</v>
      </c>
      <c r="B21" s="340">
        <v>42339</v>
      </c>
      <c r="C21" s="341" t="s">
        <v>926</v>
      </c>
      <c r="D21" s="357" t="s">
        <v>699</v>
      </c>
    </row>
    <row r="22" spans="1:4" ht="87.5" x14ac:dyDescent="0.25">
      <c r="A22" s="356" t="s">
        <v>914</v>
      </c>
      <c r="B22" s="340">
        <v>42317</v>
      </c>
      <c r="C22" s="341" t="s">
        <v>917</v>
      </c>
      <c r="D22" s="357" t="s">
        <v>699</v>
      </c>
    </row>
    <row r="23" spans="1:4" ht="100" x14ac:dyDescent="0.25">
      <c r="A23" s="356" t="s">
        <v>913</v>
      </c>
      <c r="B23" s="340">
        <v>42313</v>
      </c>
      <c r="C23" s="341" t="s">
        <v>927</v>
      </c>
      <c r="D23" s="357" t="s">
        <v>699</v>
      </c>
    </row>
    <row r="24" spans="1:4" ht="25" x14ac:dyDescent="0.25">
      <c r="A24" s="356" t="s">
        <v>911</v>
      </c>
      <c r="B24" s="340">
        <v>42206</v>
      </c>
      <c r="C24" s="341" t="s">
        <v>912</v>
      </c>
      <c r="D24" s="357" t="s">
        <v>699</v>
      </c>
    </row>
    <row r="25" spans="1:4" ht="37.5" x14ac:dyDescent="0.25">
      <c r="A25" s="356" t="s">
        <v>909</v>
      </c>
      <c r="B25" s="340">
        <v>42206</v>
      </c>
      <c r="C25" s="341" t="s">
        <v>910</v>
      </c>
      <c r="D25" s="357" t="s">
        <v>699</v>
      </c>
    </row>
    <row r="26" spans="1:4" ht="75" x14ac:dyDescent="0.25">
      <c r="A26" s="356" t="s">
        <v>905</v>
      </c>
      <c r="B26" s="340">
        <v>42179</v>
      </c>
      <c r="C26" s="341" t="s">
        <v>906</v>
      </c>
      <c r="D26" s="357" t="s">
        <v>717</v>
      </c>
    </row>
    <row r="27" spans="1:4" x14ac:dyDescent="0.25">
      <c r="A27" s="339" t="s">
        <v>903</v>
      </c>
      <c r="B27" s="340">
        <v>42178</v>
      </c>
      <c r="C27" s="341" t="s">
        <v>904</v>
      </c>
      <c r="D27" s="43" t="s">
        <v>699</v>
      </c>
    </row>
    <row r="28" spans="1:4" ht="50" x14ac:dyDescent="0.25">
      <c r="A28" s="339" t="s">
        <v>881</v>
      </c>
      <c r="B28" s="340">
        <v>42171</v>
      </c>
      <c r="C28" s="341" t="s">
        <v>902</v>
      </c>
      <c r="D28" s="43" t="s">
        <v>699</v>
      </c>
    </row>
    <row r="29" spans="1:4" ht="100.5" x14ac:dyDescent="0.25">
      <c r="A29" s="72" t="s">
        <v>859</v>
      </c>
      <c r="B29" s="310">
        <v>42170</v>
      </c>
      <c r="C29" s="32" t="s">
        <v>880</v>
      </c>
      <c r="D29" s="43" t="s">
        <v>699</v>
      </c>
    </row>
    <row r="30" spans="1:4" x14ac:dyDescent="0.25">
      <c r="A30" s="72" t="s">
        <v>837</v>
      </c>
      <c r="B30" s="310">
        <v>42048</v>
      </c>
      <c r="C30" s="32" t="s">
        <v>838</v>
      </c>
      <c r="D30" s="43" t="s">
        <v>699</v>
      </c>
    </row>
    <row r="31" spans="1:4" x14ac:dyDescent="0.25">
      <c r="A31" s="72" t="s">
        <v>835</v>
      </c>
      <c r="B31" s="310">
        <v>42041</v>
      </c>
      <c r="C31" s="32" t="s">
        <v>836</v>
      </c>
      <c r="D31" s="43" t="s">
        <v>699</v>
      </c>
    </row>
    <row r="32" spans="1:4" ht="175" x14ac:dyDescent="0.25">
      <c r="A32" s="72" t="s">
        <v>812</v>
      </c>
      <c r="B32" s="310">
        <v>42041</v>
      </c>
      <c r="C32" s="32" t="s">
        <v>834</v>
      </c>
      <c r="D32" s="43" t="s">
        <v>699</v>
      </c>
    </row>
    <row r="33" spans="1:4" ht="50" x14ac:dyDescent="0.25">
      <c r="A33" s="72" t="s">
        <v>809</v>
      </c>
      <c r="B33" s="310">
        <v>42030</v>
      </c>
      <c r="C33" s="32" t="s">
        <v>814</v>
      </c>
      <c r="D33" s="43" t="s">
        <v>699</v>
      </c>
    </row>
    <row r="34" spans="1:4" ht="87.5" x14ac:dyDescent="0.25">
      <c r="A34" s="72" t="s">
        <v>807</v>
      </c>
      <c r="B34" s="310">
        <v>42026</v>
      </c>
      <c r="C34" s="32" t="s">
        <v>858</v>
      </c>
      <c r="D34" s="43" t="s">
        <v>699</v>
      </c>
    </row>
    <row r="35" spans="1:4" x14ac:dyDescent="0.25">
      <c r="A35" s="72" t="s">
        <v>805</v>
      </c>
      <c r="B35" s="310">
        <v>41967</v>
      </c>
      <c r="C35" s="32" t="s">
        <v>806</v>
      </c>
      <c r="D35" s="43" t="s">
        <v>699</v>
      </c>
    </row>
    <row r="36" spans="1:4" ht="62.5" x14ac:dyDescent="0.25">
      <c r="A36" s="72" t="s">
        <v>803</v>
      </c>
      <c r="B36" s="310">
        <v>41955</v>
      </c>
      <c r="C36" s="32" t="s">
        <v>804</v>
      </c>
      <c r="D36" s="43" t="s">
        <v>699</v>
      </c>
    </row>
    <row r="37" spans="1:4" ht="50" x14ac:dyDescent="0.25">
      <c r="A37" s="72" t="s">
        <v>801</v>
      </c>
      <c r="B37" s="310">
        <v>41953</v>
      </c>
      <c r="C37" s="32" t="s">
        <v>802</v>
      </c>
      <c r="D37" s="43" t="s">
        <v>699</v>
      </c>
    </row>
    <row r="38" spans="1:4" ht="100" x14ac:dyDescent="0.25">
      <c r="A38" s="72" t="s">
        <v>796</v>
      </c>
      <c r="B38" s="310">
        <v>41943</v>
      </c>
      <c r="C38" s="32" t="s">
        <v>800</v>
      </c>
      <c r="D38" s="43" t="s">
        <v>699</v>
      </c>
    </row>
    <row r="39" spans="1:4" ht="75" x14ac:dyDescent="0.25">
      <c r="A39" s="72" t="s">
        <v>788</v>
      </c>
      <c r="B39" s="310">
        <v>41940</v>
      </c>
      <c r="C39" s="32" t="s">
        <v>789</v>
      </c>
      <c r="D39" s="43" t="s">
        <v>699</v>
      </c>
    </row>
    <row r="40" spans="1:4" ht="62.5" x14ac:dyDescent="0.25">
      <c r="A40" s="72" t="s">
        <v>783</v>
      </c>
      <c r="B40" s="310">
        <v>41933</v>
      </c>
      <c r="C40" s="32" t="s">
        <v>785</v>
      </c>
      <c r="D40" s="43" t="s">
        <v>699</v>
      </c>
    </row>
    <row r="41" spans="1:4" ht="25" x14ac:dyDescent="0.25">
      <c r="A41" s="72" t="s">
        <v>780</v>
      </c>
      <c r="B41" s="310">
        <v>41877</v>
      </c>
      <c r="C41" s="32" t="s">
        <v>781</v>
      </c>
      <c r="D41" s="43" t="s">
        <v>699</v>
      </c>
    </row>
    <row r="42" spans="1:4" ht="25" x14ac:dyDescent="0.25">
      <c r="A42" s="72" t="s">
        <v>778</v>
      </c>
      <c r="B42" s="310">
        <v>41870</v>
      </c>
      <c r="C42" s="32" t="s">
        <v>779</v>
      </c>
      <c r="D42" s="43" t="s">
        <v>699</v>
      </c>
    </row>
    <row r="43" spans="1:4" x14ac:dyDescent="0.25">
      <c r="A43" s="72" t="s">
        <v>742</v>
      </c>
      <c r="B43" s="310">
        <v>41836</v>
      </c>
      <c r="C43" s="32" t="s">
        <v>758</v>
      </c>
      <c r="D43" s="43" t="s">
        <v>699</v>
      </c>
    </row>
    <row r="44" spans="1:4" ht="50" x14ac:dyDescent="0.25">
      <c r="A44" s="72" t="s">
        <v>738</v>
      </c>
      <c r="B44" s="310">
        <v>41836</v>
      </c>
      <c r="C44" s="32" t="s">
        <v>757</v>
      </c>
      <c r="D44" s="43" t="s">
        <v>699</v>
      </c>
    </row>
    <row r="45" spans="1:4" ht="25" x14ac:dyDescent="0.25">
      <c r="A45" s="72" t="s">
        <v>737</v>
      </c>
      <c r="B45" s="310">
        <v>41831</v>
      </c>
      <c r="C45" s="32" t="s">
        <v>736</v>
      </c>
      <c r="D45" s="43" t="s">
        <v>699</v>
      </c>
    </row>
    <row r="46" spans="1:4" ht="25" x14ac:dyDescent="0.25">
      <c r="A46" s="72" t="s">
        <v>731</v>
      </c>
      <c r="B46" s="310">
        <v>41830</v>
      </c>
      <c r="C46" s="32" t="s">
        <v>735</v>
      </c>
      <c r="D46" s="43" t="s">
        <v>699</v>
      </c>
    </row>
    <row r="47" spans="1:4" ht="25" x14ac:dyDescent="0.25">
      <c r="A47" s="72" t="s">
        <v>729</v>
      </c>
      <c r="B47" s="310">
        <v>41813</v>
      </c>
      <c r="C47" s="32" t="s">
        <v>730</v>
      </c>
      <c r="D47" s="43" t="s">
        <v>699</v>
      </c>
    </row>
    <row r="48" spans="1:4" ht="25" x14ac:dyDescent="0.25">
      <c r="A48" s="72" t="s">
        <v>727</v>
      </c>
      <c r="B48" s="310">
        <v>41803</v>
      </c>
      <c r="C48" s="32" t="s">
        <v>728</v>
      </c>
      <c r="D48" s="43" t="s">
        <v>699</v>
      </c>
    </row>
    <row r="49" spans="1:4" x14ac:dyDescent="0.25">
      <c r="A49" s="72" t="s">
        <v>724</v>
      </c>
      <c r="B49" s="310">
        <v>41786</v>
      </c>
      <c r="C49" s="32" t="s">
        <v>725</v>
      </c>
      <c r="D49" s="43" t="s">
        <v>726</v>
      </c>
    </row>
    <row r="50" spans="1:4" ht="25" x14ac:dyDescent="0.25">
      <c r="A50" s="72" t="s">
        <v>722</v>
      </c>
      <c r="B50" s="310">
        <v>41778</v>
      </c>
      <c r="C50" s="32" t="s">
        <v>723</v>
      </c>
      <c r="D50" s="43" t="s">
        <v>699</v>
      </c>
    </row>
    <row r="51" spans="1:4" ht="25" x14ac:dyDescent="0.25">
      <c r="A51" s="72" t="s">
        <v>720</v>
      </c>
      <c r="B51" s="310">
        <v>41775</v>
      </c>
      <c r="C51" s="32" t="s">
        <v>721</v>
      </c>
      <c r="D51" s="43" t="s">
        <v>699</v>
      </c>
    </row>
    <row r="52" spans="1:4" x14ac:dyDescent="0.25">
      <c r="A52" s="72" t="s">
        <v>719</v>
      </c>
      <c r="B52" s="310">
        <v>41758</v>
      </c>
      <c r="C52" s="32" t="s">
        <v>718</v>
      </c>
      <c r="D52" s="43" t="s">
        <v>717</v>
      </c>
    </row>
    <row r="53" spans="1:4" ht="25" x14ac:dyDescent="0.25">
      <c r="A53" s="72" t="s">
        <v>715</v>
      </c>
      <c r="B53" s="310">
        <v>41752</v>
      </c>
      <c r="C53" s="32" t="s">
        <v>716</v>
      </c>
      <c r="D53" s="43" t="s">
        <v>699</v>
      </c>
    </row>
    <row r="54" spans="1:4" ht="37.5" x14ac:dyDescent="0.25">
      <c r="A54" s="72" t="s">
        <v>703</v>
      </c>
      <c r="B54" s="310">
        <v>41750</v>
      </c>
      <c r="C54" s="32" t="s">
        <v>704</v>
      </c>
      <c r="D54" s="43" t="s">
        <v>699</v>
      </c>
    </row>
    <row r="55" spans="1:4" ht="125" x14ac:dyDescent="0.25">
      <c r="A55" s="72" t="s">
        <v>690</v>
      </c>
      <c r="B55" s="310">
        <v>41730</v>
      </c>
      <c r="C55" s="38" t="s">
        <v>698</v>
      </c>
      <c r="D55" s="47"/>
    </row>
    <row r="56" spans="1:4" ht="75" x14ac:dyDescent="0.25">
      <c r="A56" s="72" t="s">
        <v>688</v>
      </c>
      <c r="B56" s="310">
        <v>41719</v>
      </c>
      <c r="C56" s="38" t="s">
        <v>689</v>
      </c>
      <c r="D56" s="47"/>
    </row>
    <row r="57" spans="1:4" ht="62.5" x14ac:dyDescent="0.25">
      <c r="A57" s="72" t="s">
        <v>661</v>
      </c>
      <c r="B57" s="310">
        <v>41705</v>
      </c>
      <c r="C57" s="38" t="s">
        <v>671</v>
      </c>
      <c r="D57" s="47"/>
    </row>
    <row r="58" spans="1:4" ht="213.5" thickBot="1" x14ac:dyDescent="0.3">
      <c r="A58" s="311" t="s">
        <v>410</v>
      </c>
      <c r="B58" s="312">
        <v>41683</v>
      </c>
      <c r="C58" s="313" t="s">
        <v>660</v>
      </c>
      <c r="D58" s="313" t="s">
        <v>428</v>
      </c>
    </row>
    <row r="59" spans="1:4" ht="13" thickTop="1" x14ac:dyDescent="0.25">
      <c r="A59" s="314" t="s">
        <v>408</v>
      </c>
      <c r="B59" s="315">
        <v>41508</v>
      </c>
      <c r="C59" s="316" t="s">
        <v>409</v>
      </c>
      <c r="D59" s="322" t="s">
        <v>112</v>
      </c>
    </row>
    <row r="60" spans="1:4" ht="25" x14ac:dyDescent="0.25">
      <c r="A60" s="54" t="s">
        <v>406</v>
      </c>
      <c r="B60" s="310">
        <v>41081</v>
      </c>
      <c r="C60" s="38" t="s">
        <v>407</v>
      </c>
      <c r="D60" s="43" t="s">
        <v>142</v>
      </c>
    </row>
    <row r="61" spans="1:4" x14ac:dyDescent="0.25">
      <c r="A61" s="72" t="s">
        <v>404</v>
      </c>
      <c r="B61" s="310">
        <v>41054</v>
      </c>
      <c r="C61" s="32" t="s">
        <v>405</v>
      </c>
      <c r="D61" s="32" t="s">
        <v>142</v>
      </c>
    </row>
    <row r="62" spans="1:4" x14ac:dyDescent="0.25">
      <c r="A62" s="72" t="s">
        <v>398</v>
      </c>
      <c r="B62" s="310">
        <v>41029</v>
      </c>
      <c r="C62" s="32" t="s">
        <v>399</v>
      </c>
      <c r="D62" s="32" t="s">
        <v>127</v>
      </c>
    </row>
    <row r="63" spans="1:4" x14ac:dyDescent="0.25">
      <c r="A63" s="72" t="s">
        <v>396</v>
      </c>
      <c r="B63" s="310">
        <v>41025</v>
      </c>
      <c r="C63" s="32" t="s">
        <v>395</v>
      </c>
      <c r="D63" s="32" t="s">
        <v>127</v>
      </c>
    </row>
    <row r="64" spans="1:4" x14ac:dyDescent="0.25">
      <c r="A64" s="72" t="s">
        <v>394</v>
      </c>
      <c r="B64" s="310">
        <v>40988</v>
      </c>
      <c r="C64" s="32" t="s">
        <v>397</v>
      </c>
      <c r="D64" s="32" t="s">
        <v>128</v>
      </c>
    </row>
    <row r="65" spans="1:4" ht="50" x14ac:dyDescent="0.25">
      <c r="A65" s="72" t="s">
        <v>390</v>
      </c>
      <c r="B65" s="310">
        <v>40984</v>
      </c>
      <c r="C65" s="32" t="s">
        <v>391</v>
      </c>
      <c r="D65" s="32" t="s">
        <v>112</v>
      </c>
    </row>
    <row r="66" spans="1:4" ht="50" x14ac:dyDescent="0.25">
      <c r="A66" s="72" t="s">
        <v>387</v>
      </c>
      <c r="B66" s="310">
        <v>40981</v>
      </c>
      <c r="C66" s="32" t="s">
        <v>389</v>
      </c>
      <c r="D66" s="32" t="s">
        <v>112</v>
      </c>
    </row>
    <row r="67" spans="1:4" x14ac:dyDescent="0.25">
      <c r="A67" s="72" t="s">
        <v>386</v>
      </c>
      <c r="B67" s="310">
        <v>40981</v>
      </c>
      <c r="C67" s="32" t="s">
        <v>383</v>
      </c>
      <c r="D67" s="32" t="s">
        <v>178</v>
      </c>
    </row>
    <row r="68" spans="1:4" x14ac:dyDescent="0.25">
      <c r="A68" s="72" t="s">
        <v>384</v>
      </c>
      <c r="B68" s="310">
        <v>40981</v>
      </c>
      <c r="C68" s="32" t="s">
        <v>381</v>
      </c>
      <c r="D68" s="32" t="s">
        <v>127</v>
      </c>
    </row>
    <row r="69" spans="1:4" x14ac:dyDescent="0.25">
      <c r="A69" s="72" t="s">
        <v>382</v>
      </c>
      <c r="B69" s="310">
        <v>40981</v>
      </c>
      <c r="C69" s="32" t="s">
        <v>385</v>
      </c>
      <c r="D69" s="32" t="s">
        <v>128</v>
      </c>
    </row>
    <row r="70" spans="1:4" x14ac:dyDescent="0.25">
      <c r="A70" s="72" t="s">
        <v>380</v>
      </c>
      <c r="B70" s="310">
        <v>40968</v>
      </c>
      <c r="C70" s="32" t="s">
        <v>388</v>
      </c>
      <c r="D70" s="32" t="s">
        <v>127</v>
      </c>
    </row>
    <row r="71" spans="1:4" ht="25" x14ac:dyDescent="0.25">
      <c r="A71" s="72" t="s">
        <v>378</v>
      </c>
      <c r="B71" s="310">
        <v>40968</v>
      </c>
      <c r="C71" s="32" t="s">
        <v>379</v>
      </c>
      <c r="D71" s="32" t="s">
        <v>127</v>
      </c>
    </row>
    <row r="72" spans="1:4" ht="37.5" x14ac:dyDescent="0.25">
      <c r="A72" s="72" t="s">
        <v>374</v>
      </c>
      <c r="B72" s="310">
        <v>40963</v>
      </c>
      <c r="C72" s="32" t="s">
        <v>375</v>
      </c>
      <c r="D72" s="32" t="s">
        <v>142</v>
      </c>
    </row>
    <row r="73" spans="1:4" ht="25" x14ac:dyDescent="0.25">
      <c r="A73" s="72" t="s">
        <v>372</v>
      </c>
      <c r="B73" s="310">
        <v>40961</v>
      </c>
      <c r="C73" s="32" t="s">
        <v>373</v>
      </c>
      <c r="D73" s="32" t="s">
        <v>112</v>
      </c>
    </row>
    <row r="74" spans="1:4" x14ac:dyDescent="0.25">
      <c r="A74" s="72" t="s">
        <v>370</v>
      </c>
      <c r="B74" s="310">
        <v>40961</v>
      </c>
      <c r="C74" s="32" t="s">
        <v>371</v>
      </c>
      <c r="D74" s="32" t="s">
        <v>112</v>
      </c>
    </row>
    <row r="75" spans="1:4" x14ac:dyDescent="0.25">
      <c r="A75" s="72" t="s">
        <v>368</v>
      </c>
      <c r="B75" s="310">
        <v>40960</v>
      </c>
      <c r="C75" s="32" t="s">
        <v>369</v>
      </c>
      <c r="D75" s="32" t="s">
        <v>129</v>
      </c>
    </row>
    <row r="76" spans="1:4" ht="37.5" x14ac:dyDescent="0.25">
      <c r="A76" s="72" t="s">
        <v>366</v>
      </c>
      <c r="B76" s="310">
        <v>40959</v>
      </c>
      <c r="C76" s="32" t="s">
        <v>367</v>
      </c>
      <c r="D76" s="32" t="s">
        <v>112</v>
      </c>
    </row>
    <row r="77" spans="1:4" x14ac:dyDescent="0.25">
      <c r="A77" s="72" t="s">
        <v>364</v>
      </c>
      <c r="B77" s="310">
        <v>40952</v>
      </c>
      <c r="C77" s="32" t="s">
        <v>365</v>
      </c>
      <c r="D77" s="32" t="s">
        <v>178</v>
      </c>
    </row>
    <row r="78" spans="1:4" x14ac:dyDescent="0.25">
      <c r="A78" s="72" t="s">
        <v>362</v>
      </c>
      <c r="B78" s="310">
        <v>40945</v>
      </c>
      <c r="C78" s="32" t="s">
        <v>363</v>
      </c>
      <c r="D78" s="32" t="s">
        <v>120</v>
      </c>
    </row>
    <row r="79" spans="1:4" ht="25" x14ac:dyDescent="0.25">
      <c r="A79" s="72" t="s">
        <v>360</v>
      </c>
      <c r="B79" s="310">
        <v>40940</v>
      </c>
      <c r="C79" s="32" t="s">
        <v>361</v>
      </c>
      <c r="D79" s="32" t="s">
        <v>112</v>
      </c>
    </row>
    <row r="80" spans="1:4" ht="215" x14ac:dyDescent="0.25">
      <c r="A80" s="72" t="s">
        <v>348</v>
      </c>
      <c r="B80" s="310">
        <v>40940</v>
      </c>
      <c r="C80" s="32" t="s">
        <v>359</v>
      </c>
      <c r="D80" s="32" t="s">
        <v>112</v>
      </c>
    </row>
    <row r="81" spans="1:4" ht="25" x14ac:dyDescent="0.25">
      <c r="A81" s="72" t="s">
        <v>340</v>
      </c>
      <c r="B81" s="310">
        <v>40909</v>
      </c>
      <c r="C81" s="32" t="s">
        <v>341</v>
      </c>
      <c r="D81" s="32" t="s">
        <v>112</v>
      </c>
    </row>
    <row r="82" spans="1:4" ht="125" x14ac:dyDescent="0.25">
      <c r="A82" s="72" t="s">
        <v>338</v>
      </c>
      <c r="B82" s="310">
        <v>40889</v>
      </c>
      <c r="C82" s="32" t="s">
        <v>339</v>
      </c>
      <c r="D82" s="32" t="s">
        <v>112</v>
      </c>
    </row>
    <row r="83" spans="1:4" ht="25" x14ac:dyDescent="0.25">
      <c r="A83" s="72" t="s">
        <v>336</v>
      </c>
      <c r="B83" s="310">
        <v>40889</v>
      </c>
      <c r="C83" s="32" t="s">
        <v>337</v>
      </c>
      <c r="D83" s="32" t="s">
        <v>112</v>
      </c>
    </row>
    <row r="84" spans="1:4" ht="37.5" x14ac:dyDescent="0.25">
      <c r="A84" s="72" t="s">
        <v>333</v>
      </c>
      <c r="B84" s="310">
        <v>40885</v>
      </c>
      <c r="C84" s="32" t="s">
        <v>335</v>
      </c>
      <c r="D84" s="32" t="s">
        <v>334</v>
      </c>
    </row>
    <row r="85" spans="1:4" x14ac:dyDescent="0.25">
      <c r="A85" s="72" t="s">
        <v>332</v>
      </c>
      <c r="B85" s="310">
        <v>40883</v>
      </c>
      <c r="C85" s="32" t="s">
        <v>331</v>
      </c>
      <c r="D85" s="32" t="s">
        <v>129</v>
      </c>
    </row>
    <row r="86" spans="1:4" x14ac:dyDescent="0.25">
      <c r="A86" s="72" t="s">
        <v>329</v>
      </c>
      <c r="B86" s="310">
        <v>40883</v>
      </c>
      <c r="C86" s="32" t="s">
        <v>330</v>
      </c>
      <c r="D86" s="32" t="s">
        <v>129</v>
      </c>
    </row>
    <row r="87" spans="1:4" ht="37.5" x14ac:dyDescent="0.25">
      <c r="A87" s="72" t="s">
        <v>327</v>
      </c>
      <c r="B87" s="310">
        <v>40877</v>
      </c>
      <c r="C87" s="32" t="s">
        <v>328</v>
      </c>
      <c r="D87" s="32" t="s">
        <v>326</v>
      </c>
    </row>
    <row r="88" spans="1:4" ht="50" x14ac:dyDescent="0.25">
      <c r="A88" s="72" t="s">
        <v>323</v>
      </c>
      <c r="B88" s="310">
        <v>40875</v>
      </c>
      <c r="C88" s="32" t="s">
        <v>324</v>
      </c>
      <c r="D88" s="80" t="s">
        <v>112</v>
      </c>
    </row>
    <row r="89" spans="1:4" x14ac:dyDescent="0.25">
      <c r="A89" s="72" t="s">
        <v>321</v>
      </c>
      <c r="B89" s="310">
        <v>40876</v>
      </c>
      <c r="C89" s="32" t="s">
        <v>322</v>
      </c>
      <c r="D89" s="80" t="s">
        <v>178</v>
      </c>
    </row>
    <row r="90" spans="1:4" x14ac:dyDescent="0.25">
      <c r="A90" s="72" t="s">
        <v>319</v>
      </c>
      <c r="B90" s="310">
        <v>40875</v>
      </c>
      <c r="C90" s="32" t="s">
        <v>320</v>
      </c>
      <c r="D90" s="80" t="s">
        <v>178</v>
      </c>
    </row>
    <row r="91" spans="1:4" x14ac:dyDescent="0.25">
      <c r="A91" s="72" t="s">
        <v>317</v>
      </c>
      <c r="B91" s="310">
        <v>40875</v>
      </c>
      <c r="C91" s="32" t="s">
        <v>318</v>
      </c>
      <c r="D91" s="80" t="s">
        <v>112</v>
      </c>
    </row>
    <row r="92" spans="1:4" x14ac:dyDescent="0.25">
      <c r="A92" s="72" t="s">
        <v>315</v>
      </c>
      <c r="B92" s="310">
        <v>40868</v>
      </c>
      <c r="C92" s="32" t="s">
        <v>316</v>
      </c>
      <c r="D92" s="80" t="s">
        <v>142</v>
      </c>
    </row>
    <row r="93" spans="1:4" ht="37.5" x14ac:dyDescent="0.25">
      <c r="A93" s="72" t="s">
        <v>307</v>
      </c>
      <c r="B93" s="310">
        <v>40863</v>
      </c>
      <c r="C93" s="38" t="s">
        <v>308</v>
      </c>
      <c r="D93" s="43" t="s">
        <v>178</v>
      </c>
    </row>
    <row r="94" spans="1:4" x14ac:dyDescent="0.25">
      <c r="A94" s="72" t="s">
        <v>303</v>
      </c>
      <c r="B94" s="310">
        <v>40861</v>
      </c>
      <c r="C94" s="38" t="s">
        <v>304</v>
      </c>
      <c r="D94" s="43" t="s">
        <v>112</v>
      </c>
    </row>
    <row r="95" spans="1:4" x14ac:dyDescent="0.25">
      <c r="A95" s="72" t="s">
        <v>301</v>
      </c>
      <c r="B95" s="310">
        <v>40857</v>
      </c>
      <c r="C95" s="38" t="s">
        <v>302</v>
      </c>
      <c r="D95" s="43" t="s">
        <v>120</v>
      </c>
    </row>
    <row r="96" spans="1:4" x14ac:dyDescent="0.25">
      <c r="A96" s="72" t="s">
        <v>298</v>
      </c>
      <c r="B96" s="310">
        <v>40814</v>
      </c>
      <c r="C96" s="38" t="s">
        <v>299</v>
      </c>
      <c r="D96" s="43" t="s">
        <v>178</v>
      </c>
    </row>
    <row r="97" spans="1:4" ht="62.5" x14ac:dyDescent="0.25">
      <c r="A97" s="72" t="s">
        <v>295</v>
      </c>
      <c r="B97" s="310">
        <v>40801</v>
      </c>
      <c r="C97" s="38" t="s">
        <v>297</v>
      </c>
      <c r="D97" s="43" t="s">
        <v>296</v>
      </c>
    </row>
    <row r="98" spans="1:4" ht="62.5" x14ac:dyDescent="0.25">
      <c r="A98" s="72" t="s">
        <v>293</v>
      </c>
      <c r="B98" s="310">
        <v>40739</v>
      </c>
      <c r="C98" s="32" t="s">
        <v>294</v>
      </c>
      <c r="D98" s="80" t="s">
        <v>112</v>
      </c>
    </row>
    <row r="99" spans="1:4" x14ac:dyDescent="0.25">
      <c r="A99" s="72" t="s">
        <v>291</v>
      </c>
      <c r="B99" s="310">
        <v>40735</v>
      </c>
      <c r="C99" s="32" t="s">
        <v>292</v>
      </c>
      <c r="D99" s="80" t="s">
        <v>129</v>
      </c>
    </row>
    <row r="100" spans="1:4" x14ac:dyDescent="0.25">
      <c r="A100" s="72" t="s">
        <v>289</v>
      </c>
      <c r="B100" s="310">
        <v>40688</v>
      </c>
      <c r="C100" s="32" t="s">
        <v>290</v>
      </c>
      <c r="D100" s="80" t="s">
        <v>112</v>
      </c>
    </row>
    <row r="101" spans="1:4" x14ac:dyDescent="0.25">
      <c r="A101" s="72" t="s">
        <v>100</v>
      </c>
      <c r="B101" s="310">
        <v>40688</v>
      </c>
      <c r="C101" s="32" t="s">
        <v>288</v>
      </c>
      <c r="D101" s="80" t="s">
        <v>126</v>
      </c>
    </row>
    <row r="102" spans="1:4" ht="37.5" x14ac:dyDescent="0.25">
      <c r="A102" s="72" t="s">
        <v>287</v>
      </c>
      <c r="B102" s="310">
        <v>40683</v>
      </c>
      <c r="C102" s="32" t="s">
        <v>286</v>
      </c>
      <c r="D102" s="80" t="s">
        <v>142</v>
      </c>
    </row>
    <row r="103" spans="1:4" ht="37.5" x14ac:dyDescent="0.25">
      <c r="A103" s="84" t="s">
        <v>282</v>
      </c>
      <c r="B103" s="310">
        <v>40668</v>
      </c>
      <c r="C103" s="32" t="s">
        <v>285</v>
      </c>
      <c r="D103" s="80" t="s">
        <v>112</v>
      </c>
    </row>
    <row r="104" spans="1:4" ht="62.5" x14ac:dyDescent="0.25">
      <c r="A104" s="84" t="s">
        <v>283</v>
      </c>
      <c r="B104" s="310">
        <v>40667</v>
      </c>
      <c r="C104" s="32" t="s">
        <v>284</v>
      </c>
      <c r="D104" s="80" t="s">
        <v>126</v>
      </c>
    </row>
    <row r="105" spans="1:4" ht="75" x14ac:dyDescent="0.25">
      <c r="A105" s="84" t="s">
        <v>280</v>
      </c>
      <c r="B105" s="310">
        <v>40644</v>
      </c>
      <c r="C105" s="32" t="s">
        <v>281</v>
      </c>
      <c r="D105" s="80" t="s">
        <v>112</v>
      </c>
    </row>
    <row r="106" spans="1:4" ht="25" x14ac:dyDescent="0.25">
      <c r="A106" s="84" t="s">
        <v>279</v>
      </c>
      <c r="B106" s="310">
        <v>40640</v>
      </c>
      <c r="C106" s="32" t="s">
        <v>278</v>
      </c>
      <c r="D106" s="80" t="s">
        <v>126</v>
      </c>
    </row>
    <row r="107" spans="1:4" x14ac:dyDescent="0.25">
      <c r="A107" s="84" t="s">
        <v>277</v>
      </c>
      <c r="B107" s="310">
        <v>40639</v>
      </c>
      <c r="C107" s="32"/>
      <c r="D107" s="80" t="s">
        <v>178</v>
      </c>
    </row>
    <row r="108" spans="1:4" x14ac:dyDescent="0.25">
      <c r="A108" s="84" t="s">
        <v>275</v>
      </c>
      <c r="B108" s="310">
        <v>40639</v>
      </c>
      <c r="C108" s="32" t="s">
        <v>276</v>
      </c>
      <c r="D108" s="80" t="s">
        <v>126</v>
      </c>
    </row>
    <row r="109" spans="1:4" ht="50" x14ac:dyDescent="0.25">
      <c r="A109" s="72" t="s">
        <v>270</v>
      </c>
      <c r="B109" s="310">
        <v>40638</v>
      </c>
      <c r="C109" s="38" t="s">
        <v>271</v>
      </c>
      <c r="D109" s="43" t="s">
        <v>112</v>
      </c>
    </row>
    <row r="110" spans="1:4" ht="37.5" x14ac:dyDescent="0.25">
      <c r="A110" s="72" t="s">
        <v>268</v>
      </c>
      <c r="B110" s="310">
        <v>40637</v>
      </c>
      <c r="C110" s="38" t="s">
        <v>269</v>
      </c>
      <c r="D110" s="43" t="s">
        <v>126</v>
      </c>
    </row>
    <row r="111" spans="1:4" x14ac:dyDescent="0.25">
      <c r="A111" s="72" t="s">
        <v>261</v>
      </c>
      <c r="B111" s="310">
        <v>40634</v>
      </c>
      <c r="C111" s="38" t="s">
        <v>262</v>
      </c>
      <c r="D111" s="43" t="s">
        <v>112</v>
      </c>
    </row>
    <row r="112" spans="1:4" ht="62.5" x14ac:dyDescent="0.25">
      <c r="A112" s="72" t="s">
        <v>259</v>
      </c>
      <c r="B112" s="310">
        <v>40627</v>
      </c>
      <c r="C112" s="38" t="s">
        <v>260</v>
      </c>
      <c r="D112" s="43" t="s">
        <v>112</v>
      </c>
    </row>
    <row r="113" spans="1:4" x14ac:dyDescent="0.25">
      <c r="A113" s="72" t="s">
        <v>253</v>
      </c>
      <c r="B113" s="310">
        <v>40568</v>
      </c>
      <c r="C113" s="38" t="s">
        <v>254</v>
      </c>
      <c r="D113" s="43" t="s">
        <v>178</v>
      </c>
    </row>
    <row r="114" spans="1:4" ht="37.5" x14ac:dyDescent="0.25">
      <c r="A114" s="72" t="s">
        <v>251</v>
      </c>
      <c r="B114" s="310">
        <v>40567</v>
      </c>
      <c r="C114" s="38" t="s">
        <v>252</v>
      </c>
      <c r="D114" s="43" t="s">
        <v>178</v>
      </c>
    </row>
    <row r="115" spans="1:4" x14ac:dyDescent="0.25">
      <c r="A115" s="72" t="s">
        <v>249</v>
      </c>
      <c r="B115" s="310">
        <v>40566</v>
      </c>
      <c r="C115" s="38" t="s">
        <v>250</v>
      </c>
      <c r="D115" s="43" t="s">
        <v>120</v>
      </c>
    </row>
    <row r="116" spans="1:4" x14ac:dyDescent="0.25">
      <c r="A116" s="72" t="s">
        <v>247</v>
      </c>
      <c r="B116" s="310">
        <v>40564</v>
      </c>
      <c r="C116" s="38" t="s">
        <v>248</v>
      </c>
      <c r="D116" s="43" t="s">
        <v>178</v>
      </c>
    </row>
    <row r="117" spans="1:4" x14ac:dyDescent="0.25">
      <c r="A117" s="54" t="s">
        <v>241</v>
      </c>
      <c r="B117" s="310">
        <v>40560</v>
      </c>
      <c r="C117" s="32" t="s">
        <v>242</v>
      </c>
      <c r="D117" s="80" t="s">
        <v>120</v>
      </c>
    </row>
    <row r="118" spans="1:4" x14ac:dyDescent="0.25">
      <c r="A118" s="72" t="s">
        <v>239</v>
      </c>
      <c r="B118" s="310">
        <v>40555</v>
      </c>
      <c r="C118" s="38" t="s">
        <v>240</v>
      </c>
      <c r="D118" s="43" t="s">
        <v>112</v>
      </c>
    </row>
    <row r="119" spans="1:4" x14ac:dyDescent="0.25">
      <c r="A119" s="72" t="s">
        <v>237</v>
      </c>
      <c r="B119" s="310">
        <v>40554</v>
      </c>
      <c r="C119" s="38" t="s">
        <v>238</v>
      </c>
      <c r="D119" s="43" t="s">
        <v>178</v>
      </c>
    </row>
    <row r="120" spans="1:4" x14ac:dyDescent="0.25">
      <c r="A120" s="72" t="s">
        <v>235</v>
      </c>
      <c r="B120" s="310">
        <v>40547</v>
      </c>
      <c r="C120" s="38" t="s">
        <v>236</v>
      </c>
      <c r="D120" s="43" t="s">
        <v>112</v>
      </c>
    </row>
    <row r="121" spans="1:4" ht="25" x14ac:dyDescent="0.25">
      <c r="A121" s="72" t="s">
        <v>233</v>
      </c>
      <c r="B121" s="310">
        <v>40528</v>
      </c>
      <c r="C121" s="38" t="s">
        <v>234</v>
      </c>
      <c r="D121" s="43" t="s">
        <v>142</v>
      </c>
    </row>
    <row r="122" spans="1:4" ht="37.5" x14ac:dyDescent="0.25">
      <c r="A122" s="72" t="s">
        <v>231</v>
      </c>
      <c r="B122" s="310">
        <v>40526</v>
      </c>
      <c r="C122" s="38" t="s">
        <v>232</v>
      </c>
      <c r="D122" s="50" t="s">
        <v>112</v>
      </c>
    </row>
    <row r="123" spans="1:4" ht="50" x14ac:dyDescent="0.25">
      <c r="A123" s="72" t="s">
        <v>229</v>
      </c>
      <c r="B123" s="310">
        <v>40525</v>
      </c>
      <c r="C123" s="38" t="s">
        <v>230</v>
      </c>
      <c r="D123" s="50" t="s">
        <v>112</v>
      </c>
    </row>
    <row r="124" spans="1:4" ht="25" x14ac:dyDescent="0.25">
      <c r="A124" s="72" t="s">
        <v>226</v>
      </c>
      <c r="B124" s="310">
        <v>40512</v>
      </c>
      <c r="C124" s="38" t="s">
        <v>227</v>
      </c>
      <c r="D124" s="50" t="s">
        <v>228</v>
      </c>
    </row>
    <row r="125" spans="1:4" x14ac:dyDescent="0.25">
      <c r="A125" s="68" t="s">
        <v>220</v>
      </c>
      <c r="B125" s="310">
        <v>40505</v>
      </c>
      <c r="C125" s="56" t="s">
        <v>221</v>
      </c>
      <c r="D125" s="56" t="s">
        <v>178</v>
      </c>
    </row>
    <row r="126" spans="1:4" x14ac:dyDescent="0.25">
      <c r="A126" s="68" t="s">
        <v>218</v>
      </c>
      <c r="B126" s="310">
        <v>40501</v>
      </c>
      <c r="C126" s="56" t="s">
        <v>219</v>
      </c>
      <c r="D126" s="56" t="s">
        <v>120</v>
      </c>
    </row>
    <row r="127" spans="1:4" x14ac:dyDescent="0.25">
      <c r="A127" s="68" t="s">
        <v>210</v>
      </c>
      <c r="B127" s="310">
        <v>40485</v>
      </c>
      <c r="C127" s="56" t="s">
        <v>211</v>
      </c>
      <c r="D127" s="56" t="s">
        <v>178</v>
      </c>
    </row>
    <row r="128" spans="1:4" x14ac:dyDescent="0.25">
      <c r="A128" s="72" t="s">
        <v>212</v>
      </c>
      <c r="B128" s="310">
        <v>40485</v>
      </c>
      <c r="C128" s="74" t="s">
        <v>213</v>
      </c>
      <c r="D128" s="7"/>
    </row>
    <row r="129" spans="1:4" x14ac:dyDescent="0.25">
      <c r="A129" s="68" t="s">
        <v>205</v>
      </c>
      <c r="B129" s="310">
        <v>40484</v>
      </c>
      <c r="C129" s="56" t="s">
        <v>209</v>
      </c>
      <c r="D129" s="56" t="s">
        <v>178</v>
      </c>
    </row>
    <row r="130" spans="1:4" x14ac:dyDescent="0.25">
      <c r="A130" s="68" t="s">
        <v>207</v>
      </c>
      <c r="B130" s="310">
        <v>40484</v>
      </c>
      <c r="C130" s="56" t="s">
        <v>208</v>
      </c>
      <c r="D130" s="56" t="s">
        <v>129</v>
      </c>
    </row>
    <row r="131" spans="1:4" x14ac:dyDescent="0.25">
      <c r="A131" s="68" t="s">
        <v>206</v>
      </c>
      <c r="B131" s="310">
        <v>40484</v>
      </c>
      <c r="C131" s="56" t="s">
        <v>194</v>
      </c>
      <c r="D131" s="56" t="s">
        <v>178</v>
      </c>
    </row>
    <row r="132" spans="1:4" x14ac:dyDescent="0.25">
      <c r="A132" s="68" t="s">
        <v>193</v>
      </c>
      <c r="B132" s="310">
        <v>40484</v>
      </c>
      <c r="C132" s="56" t="s">
        <v>194</v>
      </c>
      <c r="D132" s="56" t="s">
        <v>178</v>
      </c>
    </row>
    <row r="133" spans="1:4" x14ac:dyDescent="0.25">
      <c r="A133" s="68" t="s">
        <v>189</v>
      </c>
      <c r="B133" s="310">
        <v>40484</v>
      </c>
      <c r="C133" s="56" t="s">
        <v>192</v>
      </c>
      <c r="D133" s="56" t="s">
        <v>178</v>
      </c>
    </row>
    <row r="134" spans="1:4" ht="211.5" customHeight="1" x14ac:dyDescent="0.25">
      <c r="A134" s="68" t="s">
        <v>186</v>
      </c>
      <c r="B134" s="310">
        <v>40480</v>
      </c>
      <c r="C134" s="56" t="s">
        <v>188</v>
      </c>
      <c r="D134" s="56" t="s">
        <v>187</v>
      </c>
    </row>
    <row r="135" spans="1:4" x14ac:dyDescent="0.25">
      <c r="A135" s="68" t="s">
        <v>177</v>
      </c>
      <c r="B135" s="310">
        <v>40480</v>
      </c>
      <c r="C135" s="56" t="s">
        <v>185</v>
      </c>
      <c r="D135" s="56" t="s">
        <v>178</v>
      </c>
    </row>
    <row r="136" spans="1:4" x14ac:dyDescent="0.25">
      <c r="A136" s="68" t="s">
        <v>183</v>
      </c>
      <c r="B136" s="310">
        <v>40480</v>
      </c>
      <c r="C136" s="56" t="s">
        <v>184</v>
      </c>
      <c r="D136" s="56" t="s">
        <v>178</v>
      </c>
    </row>
    <row r="137" spans="1:4" x14ac:dyDescent="0.25">
      <c r="A137" s="68" t="s">
        <v>181</v>
      </c>
      <c r="B137" s="310">
        <v>40480</v>
      </c>
      <c r="C137" s="56" t="s">
        <v>182</v>
      </c>
      <c r="D137" s="56" t="s">
        <v>178</v>
      </c>
    </row>
    <row r="138" spans="1:4" ht="37.5" customHeight="1" x14ac:dyDescent="0.25">
      <c r="A138" s="68" t="s">
        <v>179</v>
      </c>
      <c r="B138" s="310">
        <v>40480</v>
      </c>
      <c r="C138" s="56" t="s">
        <v>180</v>
      </c>
      <c r="D138" s="56" t="s">
        <v>178</v>
      </c>
    </row>
    <row r="139" spans="1:4" ht="100" x14ac:dyDescent="0.25">
      <c r="A139" s="72" t="s">
        <v>175</v>
      </c>
      <c r="B139" s="310">
        <v>40466</v>
      </c>
      <c r="C139" s="38" t="s">
        <v>176</v>
      </c>
      <c r="D139" s="43" t="s">
        <v>112</v>
      </c>
    </row>
    <row r="140" spans="1:4" x14ac:dyDescent="0.25">
      <c r="A140" s="54" t="s">
        <v>171</v>
      </c>
      <c r="B140" s="310">
        <v>40464</v>
      </c>
      <c r="C140" s="33" t="s">
        <v>172</v>
      </c>
      <c r="D140" s="47" t="s">
        <v>170</v>
      </c>
    </row>
    <row r="141" spans="1:4" x14ac:dyDescent="0.25">
      <c r="A141" s="69" t="s">
        <v>166</v>
      </c>
      <c r="B141" s="310">
        <v>40443</v>
      </c>
      <c r="C141" s="61" t="s">
        <v>168</v>
      </c>
      <c r="D141" s="61" t="s">
        <v>112</v>
      </c>
    </row>
    <row r="142" spans="1:4" x14ac:dyDescent="0.25">
      <c r="A142" s="69" t="s">
        <v>165</v>
      </c>
      <c r="B142" s="310">
        <v>40443</v>
      </c>
      <c r="C142" s="61" t="s">
        <v>167</v>
      </c>
      <c r="D142" s="61" t="s">
        <v>127</v>
      </c>
    </row>
    <row r="143" spans="1:4" x14ac:dyDescent="0.25">
      <c r="A143" s="69" t="s">
        <v>161</v>
      </c>
      <c r="B143" s="310">
        <v>40443</v>
      </c>
      <c r="C143" s="61" t="s">
        <v>164</v>
      </c>
      <c r="D143" s="61" t="s">
        <v>112</v>
      </c>
    </row>
    <row r="144" spans="1:4" x14ac:dyDescent="0.25">
      <c r="A144" s="69" t="s">
        <v>162</v>
      </c>
      <c r="B144" s="310">
        <v>40443</v>
      </c>
      <c r="C144" s="61" t="s">
        <v>163</v>
      </c>
      <c r="D144" s="61" t="s">
        <v>142</v>
      </c>
    </row>
    <row r="145" spans="1:4" ht="25" x14ac:dyDescent="0.25">
      <c r="A145" s="69" t="s">
        <v>160</v>
      </c>
      <c r="B145" s="310">
        <v>40442</v>
      </c>
      <c r="C145" s="61" t="s">
        <v>157</v>
      </c>
      <c r="D145" s="61" t="s">
        <v>112</v>
      </c>
    </row>
    <row r="146" spans="1:4" ht="25" x14ac:dyDescent="0.25">
      <c r="A146" s="69" t="s">
        <v>159</v>
      </c>
      <c r="B146" s="310">
        <v>40441</v>
      </c>
      <c r="C146" s="61" t="s">
        <v>158</v>
      </c>
      <c r="D146" s="61" t="s">
        <v>156</v>
      </c>
    </row>
    <row r="147" spans="1:4" ht="25" x14ac:dyDescent="0.25">
      <c r="A147" s="68">
        <v>4.7</v>
      </c>
      <c r="B147" s="310">
        <v>40439</v>
      </c>
      <c r="C147" s="61" t="s">
        <v>155</v>
      </c>
      <c r="D147" s="61" t="s">
        <v>112</v>
      </c>
    </row>
    <row r="148" spans="1:4" ht="75" x14ac:dyDescent="0.25">
      <c r="A148" s="68">
        <v>4.5999999999999996</v>
      </c>
      <c r="B148" s="310">
        <v>40439</v>
      </c>
      <c r="C148" s="61" t="s">
        <v>154</v>
      </c>
      <c r="D148" s="61" t="s">
        <v>112</v>
      </c>
    </row>
    <row r="149" spans="1:4" x14ac:dyDescent="0.25">
      <c r="A149" s="68">
        <v>4.5</v>
      </c>
      <c r="B149" s="310">
        <v>40438</v>
      </c>
      <c r="C149" s="61" t="s">
        <v>153</v>
      </c>
      <c r="D149" s="61" t="s">
        <v>127</v>
      </c>
    </row>
    <row r="150" spans="1:4" ht="28.5" customHeight="1" x14ac:dyDescent="0.25">
      <c r="A150" s="68">
        <v>4.4000000000000004</v>
      </c>
      <c r="B150" s="310">
        <v>40435</v>
      </c>
      <c r="C150" s="61" t="s">
        <v>152</v>
      </c>
      <c r="D150" s="56" t="s">
        <v>146</v>
      </c>
    </row>
    <row r="151" spans="1:4" x14ac:dyDescent="0.25">
      <c r="A151" s="68">
        <v>4.3</v>
      </c>
      <c r="B151" s="310">
        <v>40435</v>
      </c>
      <c r="C151" s="61" t="s">
        <v>147</v>
      </c>
      <c r="D151" s="61" t="s">
        <v>120</v>
      </c>
    </row>
    <row r="152" spans="1:4" ht="37.5" x14ac:dyDescent="0.25">
      <c r="A152" s="68">
        <v>4.2</v>
      </c>
      <c r="B152" s="310">
        <v>40429</v>
      </c>
      <c r="C152" s="56" t="s">
        <v>145</v>
      </c>
      <c r="D152" s="56" t="s">
        <v>146</v>
      </c>
    </row>
    <row r="153" spans="1:4" x14ac:dyDescent="0.25">
      <c r="A153" s="68">
        <v>4.0999999999999996</v>
      </c>
      <c r="B153" s="310">
        <v>40346</v>
      </c>
      <c r="C153" s="56" t="s">
        <v>141</v>
      </c>
      <c r="D153" s="56" t="s">
        <v>142</v>
      </c>
    </row>
    <row r="154" spans="1:4" ht="125" x14ac:dyDescent="0.25">
      <c r="A154" s="66">
        <v>4</v>
      </c>
      <c r="B154" s="310">
        <v>40232</v>
      </c>
      <c r="C154" s="46" t="s">
        <v>140</v>
      </c>
      <c r="D154" s="46" t="s">
        <v>112</v>
      </c>
    </row>
    <row r="155" spans="1:4" ht="25" x14ac:dyDescent="0.25">
      <c r="A155" s="66">
        <v>3.2</v>
      </c>
      <c r="B155" s="310">
        <v>40226</v>
      </c>
      <c r="C155" s="50" t="s">
        <v>133</v>
      </c>
      <c r="D155" s="50" t="s">
        <v>129</v>
      </c>
    </row>
    <row r="156" spans="1:4" ht="25" x14ac:dyDescent="0.25">
      <c r="A156" s="66">
        <v>3.1</v>
      </c>
      <c r="B156" s="310">
        <v>40226</v>
      </c>
      <c r="C156" s="46" t="s">
        <v>132</v>
      </c>
      <c r="D156" s="50" t="s">
        <v>129</v>
      </c>
    </row>
    <row r="157" spans="1:4" ht="88" x14ac:dyDescent="0.25">
      <c r="A157" s="66">
        <v>3</v>
      </c>
      <c r="B157" s="310">
        <v>40220</v>
      </c>
      <c r="C157" s="50" t="s">
        <v>131</v>
      </c>
      <c r="D157" s="50" t="s">
        <v>112</v>
      </c>
    </row>
    <row r="158" spans="1:4" ht="88" x14ac:dyDescent="0.25">
      <c r="A158" s="66">
        <v>2.5</v>
      </c>
      <c r="B158" s="310">
        <v>40219</v>
      </c>
      <c r="C158" s="50" t="s">
        <v>130</v>
      </c>
      <c r="D158" s="50" t="s">
        <v>129</v>
      </c>
    </row>
    <row r="159" spans="1:4" ht="388.5" x14ac:dyDescent="0.25">
      <c r="A159" s="66">
        <v>2.4</v>
      </c>
      <c r="B159" s="310">
        <v>40210</v>
      </c>
      <c r="C159" s="50" t="s">
        <v>808</v>
      </c>
      <c r="D159" s="50" t="s">
        <v>128</v>
      </c>
    </row>
    <row r="160" spans="1:4" x14ac:dyDescent="0.25">
      <c r="A160" s="66">
        <v>2.2999999999999998</v>
      </c>
      <c r="B160" s="310">
        <v>40154</v>
      </c>
      <c r="C160" s="46"/>
      <c r="D160" s="50" t="s">
        <v>120</v>
      </c>
    </row>
    <row r="161" spans="1:4" ht="50.5" x14ac:dyDescent="0.25">
      <c r="A161" s="66">
        <v>2.2000000000000002</v>
      </c>
      <c r="B161" s="310">
        <v>40151</v>
      </c>
      <c r="C161" s="50" t="s">
        <v>139</v>
      </c>
      <c r="D161" s="50" t="s">
        <v>127</v>
      </c>
    </row>
    <row r="162" spans="1:4" ht="50.5" x14ac:dyDescent="0.25">
      <c r="A162" s="66">
        <v>2.1</v>
      </c>
      <c r="B162" s="310">
        <v>40148</v>
      </c>
      <c r="C162" s="50" t="s">
        <v>138</v>
      </c>
      <c r="D162" s="50" t="s">
        <v>126</v>
      </c>
    </row>
    <row r="163" spans="1:4" ht="25" x14ac:dyDescent="0.25">
      <c r="A163" s="66">
        <v>2</v>
      </c>
      <c r="B163" s="310">
        <v>40136</v>
      </c>
      <c r="C163" s="46" t="s">
        <v>137</v>
      </c>
      <c r="D163" s="50" t="s">
        <v>112</v>
      </c>
    </row>
    <row r="164" spans="1:4" ht="75" x14ac:dyDescent="0.25">
      <c r="A164" s="66">
        <v>1.8</v>
      </c>
      <c r="B164" s="310">
        <v>40046</v>
      </c>
      <c r="C164" s="50" t="s">
        <v>125</v>
      </c>
      <c r="D164" s="50" t="s">
        <v>112</v>
      </c>
    </row>
    <row r="165" spans="1:4" ht="37.5" x14ac:dyDescent="0.25">
      <c r="A165" s="66">
        <v>1.7</v>
      </c>
      <c r="B165" s="310">
        <v>40016</v>
      </c>
      <c r="C165" s="46" t="s">
        <v>136</v>
      </c>
      <c r="D165" s="50" t="s">
        <v>112</v>
      </c>
    </row>
    <row r="166" spans="1:4" ht="25" x14ac:dyDescent="0.25">
      <c r="A166" s="66">
        <v>1.6</v>
      </c>
      <c r="B166" s="310">
        <v>39975</v>
      </c>
      <c r="C166" s="46" t="s">
        <v>124</v>
      </c>
      <c r="D166" s="50" t="s">
        <v>112</v>
      </c>
    </row>
    <row r="167" spans="1:4" ht="25" x14ac:dyDescent="0.25">
      <c r="A167" s="66">
        <v>1.5</v>
      </c>
      <c r="B167" s="310">
        <v>39961</v>
      </c>
      <c r="C167" s="46" t="s">
        <v>123</v>
      </c>
      <c r="D167" s="50" t="s">
        <v>112</v>
      </c>
    </row>
    <row r="168" spans="1:4" ht="37.5" x14ac:dyDescent="0.25">
      <c r="A168" s="66">
        <v>1.4</v>
      </c>
      <c r="B168" s="310">
        <v>39961</v>
      </c>
      <c r="C168" s="50" t="s">
        <v>122</v>
      </c>
      <c r="D168" s="50" t="s">
        <v>112</v>
      </c>
    </row>
    <row r="169" spans="1:4" ht="25" x14ac:dyDescent="0.25">
      <c r="A169" s="66">
        <v>1.3</v>
      </c>
      <c r="B169" s="310">
        <v>39960</v>
      </c>
      <c r="C169" s="46" t="s">
        <v>134</v>
      </c>
      <c r="D169" s="50" t="s">
        <v>112</v>
      </c>
    </row>
    <row r="170" spans="1:4" ht="62.5" x14ac:dyDescent="0.25">
      <c r="A170" s="66">
        <v>1.2</v>
      </c>
      <c r="B170" s="310">
        <v>39960</v>
      </c>
      <c r="C170" s="46" t="s">
        <v>121</v>
      </c>
      <c r="D170" s="50" t="s">
        <v>112</v>
      </c>
    </row>
    <row r="171" spans="1:4" ht="25" x14ac:dyDescent="0.25">
      <c r="A171" s="67">
        <v>1.1000000000000001</v>
      </c>
      <c r="B171" s="310">
        <v>39955</v>
      </c>
      <c r="C171" s="50" t="s">
        <v>135</v>
      </c>
      <c r="D171" s="50" t="s">
        <v>120</v>
      </c>
    </row>
    <row r="172" spans="1:4" ht="25" x14ac:dyDescent="0.25">
      <c r="A172" s="66">
        <v>1</v>
      </c>
      <c r="B172" s="310">
        <v>39951</v>
      </c>
      <c r="C172" s="50" t="s">
        <v>118</v>
      </c>
      <c r="D172" s="50" t="s">
        <v>119</v>
      </c>
    </row>
  </sheetData>
  <sortState ref="A10:D149">
    <sortCondition descending="1" ref="B10:B149"/>
  </sortState>
  <mergeCells count="1">
    <mergeCell ref="A1:D1"/>
  </mergeCells>
  <pageMargins left="0.7" right="0.7" top="0.75" bottom="0.75" header="0.3" footer="0.3"/>
  <pageSetup scale="85" fitToHeight="100" orientation="landscape" r:id="rId1"/>
  <headerFooter>
    <oddHeader>&amp;L&amp;F&amp;C&amp;A&amp;R&amp;D</oddHeader>
    <oddFooter>&amp;C&amp;P of &amp;N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A5232AB9D30134EB866F6A9E544BA34" ma:contentTypeVersion="24" ma:contentTypeDescription="Create a new document." ma:contentTypeScope="" ma:versionID="00856a029456e7ae048c40ef2a5f1a78">
  <xsd:schema xmlns:xsd="http://www.w3.org/2001/XMLSchema" xmlns:xs="http://www.w3.org/2001/XMLSchema" xmlns:p="http://schemas.microsoft.com/office/2006/metadata/properties" xmlns:ns2="1f4d49c6-c94c-408e-a4f8-a9d95c7cb601" xmlns:ns3="77c1c90c-9646-4c21-9ec5-64b42991447a" xmlns:ns4="http://schemas.microsoft.com/sharepoint/v4" targetNamespace="http://schemas.microsoft.com/office/2006/metadata/properties" ma:root="true" ma:fieldsID="9ab940458e1238adc76dbceb707f5e00" ns2:_="" ns3:_="" ns4:_="">
    <xsd:import namespace="1f4d49c6-c94c-408e-a4f8-a9d95c7cb601"/>
    <xsd:import namespace="77c1c90c-9646-4c21-9ec5-64b42991447a"/>
    <xsd:import namespace="http://schemas.microsoft.com/sharepoint/v4"/>
    <xsd:element name="properties">
      <xsd:complexType>
        <xsd:sequence>
          <xsd:element name="documentManagement">
            <xsd:complexType>
              <xsd:all>
                <xsd:element ref="ns2:Description0" minOccurs="0"/>
                <xsd:element ref="ns2:Is_x0020_Core_x0020_Document_x003f_" minOccurs="0"/>
                <xsd:element ref="ns2:Author0" minOccurs="0"/>
                <xsd:element ref="ns2:Date" minOccurs="0"/>
                <xsd:element ref="ns3:_dlc_DocId" minOccurs="0"/>
                <xsd:element ref="ns3:_dlc_DocIdUrl" minOccurs="0"/>
                <xsd:element ref="ns3:_dlc_DocIdPersistId" minOccurs="0"/>
                <xsd:element ref="ns2:AudienceTaxHTField0" minOccurs="0"/>
                <xsd:element ref="ns3:TaxCatchAll" minOccurs="0"/>
                <xsd:element ref="ns2:Document_x0020_TypeTaxHTField0" minOccurs="0"/>
                <xsd:element ref="ns2:PublisherTaxHTField0" minOccurs="0"/>
                <xsd:element ref="ns2:Project_x002f_AssetTaxHTField0" minOccurs="0"/>
                <xsd:element ref="ns4: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4d49c6-c94c-408e-a4f8-a9d95c7cb601" elementFormDefault="qualified">
    <xsd:import namespace="http://schemas.microsoft.com/office/2006/documentManagement/types"/>
    <xsd:import namespace="http://schemas.microsoft.com/office/infopath/2007/PartnerControls"/>
    <xsd:element name="Description0" ma:index="2" nillable="true" ma:displayName="Description" ma:internalName="Description0" ma:readOnly="false">
      <xsd:simpleType>
        <xsd:restriction base="dms:Note"/>
      </xsd:simpleType>
    </xsd:element>
    <xsd:element name="Is_x0020_Core_x0020_Document_x003f_" ma:index="7" nillable="true" ma:displayName="Is Core Document?" ma:default="0" ma:internalName="Is_x0020_Core_x0020_Document_x003f_">
      <xsd:simpleType>
        <xsd:restriction base="dms:Boolean"/>
      </xsd:simpleType>
    </xsd:element>
    <xsd:element name="Author0" ma:index="8" nillable="true" ma:displayName="Author" ma:list="UserInfo" ma:SharePointGroup="0" ma:internalName="Author0"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Date" ma:index="9" nillable="true" ma:displayName="Date" ma:default="[today]" ma:format="DateOnly" ma:internalName="Date" ma:readOnly="false">
      <xsd:simpleType>
        <xsd:restriction base="dms:DateTime"/>
      </xsd:simpleType>
    </xsd:element>
    <xsd:element name="AudienceTaxHTField0" ma:index="14" nillable="true" ma:taxonomy="true" ma:internalName="AudienceTaxHTField0" ma:taxonomyFieldName="Audience" ma:displayName="Audience" ma:readOnly="false" ma:default="4;#All|177699b7-88c5-40bb-86a0-6f74c3a7a458" ma:fieldId="{e350504a-7fae-49bd-bdca-fa4185093837}" ma:taxonomyMulti="true" ma:sspId="27f062f2-43d9-4a17-bccc-9c0ae45e0c0b" ma:termSetId="33f4fa8e-6948-4490-81dc-c7da715209f1" ma:anchorId="00000000-0000-0000-0000-000000000000" ma:open="false" ma:isKeyword="false">
      <xsd:complexType>
        <xsd:sequence>
          <xsd:element ref="pc:Terms" minOccurs="0" maxOccurs="1"/>
        </xsd:sequence>
      </xsd:complexType>
    </xsd:element>
    <xsd:element name="Document_x0020_TypeTaxHTField0" ma:index="16" nillable="true" ma:taxonomy="true" ma:internalName="Document_x0020_TypeTaxHTField0" ma:taxonomyFieldName="Document_x0020_Type" ma:displayName="Document Type" ma:indexed="true" ma:readOnly="false" ma:default="20;#Document|93858c43-18b1-4512-9953-3312be5568d6" ma:fieldId="{cbc5c8a5-81ac-4cfa-92b7-4e8a98edc948}" ma:sspId="27f062f2-43d9-4a17-bccc-9c0ae45e0c0b" ma:termSetId="2e5eee7a-6564-4766-9b95-469a342f7f3b" ma:anchorId="00000000-0000-0000-0000-000000000000" ma:open="false" ma:isKeyword="false">
      <xsd:complexType>
        <xsd:sequence>
          <xsd:element ref="pc:Terms" minOccurs="0" maxOccurs="1"/>
        </xsd:sequence>
      </xsd:complexType>
    </xsd:element>
    <xsd:element name="PublisherTaxHTField0" ma:index="17" nillable="true" ma:taxonomy="true" ma:internalName="PublisherTaxHTField0" ma:taxonomyFieldName="Publisher" ma:displayName="Publisher" ma:indexed="true" ma:readOnly="false" ma:default="30;#Other|d9d760e7-f6e0-400a-9957-3ceeeea202dd" ma:fieldId="{5aec62c8-f3ca-405c-91d5-6533e9b10a20}" ma:sspId="27f062f2-43d9-4a17-bccc-9c0ae45e0c0b" ma:termSetId="ff29a7d0-72f3-4124-8ff7-9d2f79db3392" ma:anchorId="00000000-0000-0000-0000-000000000000" ma:open="false" ma:isKeyword="false">
      <xsd:complexType>
        <xsd:sequence>
          <xsd:element ref="pc:Terms" minOccurs="0" maxOccurs="1"/>
        </xsd:sequence>
      </xsd:complexType>
    </xsd:element>
    <xsd:element name="Project_x002f_AssetTaxHTField0" ma:index="23" nillable="true" ma:taxonomy="true" ma:internalName="Project_x002f_AssetTaxHTField0" ma:taxonomyFieldName="Project_x002f_Asset" ma:displayName="Project/Asset" ma:indexed="true" ma:default="31;#Not Applicable|b5089deb-608f-4c1e-b2b9-f5a32dab7531" ma:fieldId="{5d50cbc4-06e2-4e91-8a27-26d17fe88617}" ma:sspId="27f062f2-43d9-4a17-bccc-9c0ae45e0c0b" ma:termSetId="8b679d85-6e19-411a-9ba2-8522caeaa916"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77c1c90c-9646-4c21-9ec5-64b42991447a" elementFormDefault="qualified">
    <xsd:import namespace="http://schemas.microsoft.com/office/2006/documentManagement/types"/>
    <xsd:import namespace="http://schemas.microsoft.com/office/infopath/2007/PartnerControls"/>
    <xsd:element name="_dlc_DocId" ma:index="11" nillable="true" ma:displayName="Document ID Value" ma:description="The value of the document ID assigned to this item." ma:internalName="_dlc_DocId" ma:readOnly="true">
      <xsd:simpleType>
        <xsd:restriction base="dms:Text"/>
      </xsd:simpleType>
    </xsd:element>
    <xsd:element name="_dlc_DocIdUrl" ma:index="1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3" nillable="true" ma:displayName="Persist ID" ma:description="Keep ID on add." ma:hidden="true" ma:internalName="_dlc_DocIdPersistId" ma:readOnly="true">
      <xsd:simpleType>
        <xsd:restriction base="dms:Boolean"/>
      </xsd:simpleType>
    </xsd:element>
    <xsd:element name="TaxCatchAll" ma:index="15" nillable="true" ma:displayName="Taxonomy Catch All Column" ma:hidden="true" ma:list="{d3d60e26-af49-45d1-90ea-8a2965c3dace}" ma:internalName="TaxCatchAll" ma:showField="CatchAllData" ma:web="77c1c90c-9646-4c21-9ec5-64b42991447a">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4"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8"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Description0 xmlns="1f4d49c6-c94c-408e-a4f8-a9d95c7cb601">Logical Architecture Scorecard - Template</Description0>
    <TaxCatchAll xmlns="77c1c90c-9646-4c21-9ec5-64b42991447a">
      <Value>10</Value>
      <Value>31</Value>
      <Value>4</Value>
      <Value>69</Value>
    </TaxCatchAll>
    <Project_x002f_AssetTaxHTField0 xmlns="1f4d49c6-c94c-408e-a4f8-a9d95c7cb601">
      <Terms xmlns="http://schemas.microsoft.com/office/infopath/2007/PartnerControls">
        <TermInfo xmlns="http://schemas.microsoft.com/office/infopath/2007/PartnerControls">
          <TermName xmlns="http://schemas.microsoft.com/office/infopath/2007/PartnerControls">Not Applicable</TermName>
          <TermId xmlns="http://schemas.microsoft.com/office/infopath/2007/PartnerControls">b5089deb-608f-4c1e-b2b9-f5a32dab7531</TermId>
        </TermInfo>
      </Terms>
    </Project_x002f_AssetTaxHTField0>
    <PublisherTaxHTField0 xmlns="1f4d49c6-c94c-408e-a4f8-a9d95c7cb601">
      <Terms xmlns="http://schemas.microsoft.com/office/infopath/2007/PartnerControls">
        <TermInfo xmlns="http://schemas.microsoft.com/office/infopath/2007/PartnerControls">
          <TermName xmlns="http://schemas.microsoft.com/office/infopath/2007/PartnerControls">GAR EA</TermName>
          <TermId xmlns="http://schemas.microsoft.com/office/infopath/2007/PartnerControls">d1a538f9-d372-40f1-a69a-e5bc646dcdeb</TermId>
        </TermInfo>
      </Terms>
    </PublisherTaxHTField0>
    <Date xmlns="1f4d49c6-c94c-408e-a4f8-a9d95c7cb601">2015-07-09T04:00:00+00:00</Date>
    <Is_x0020_Core_x0020_Document_x003f_ xmlns="1f4d49c6-c94c-408e-a4f8-a9d95c7cb601">true</Is_x0020_Core_x0020_Document_x003f_>
    <Author0 xmlns="1f4d49c6-c94c-408e-a4f8-a9d95c7cb601">
      <UserInfo>
        <DisplayName>LEGAL\SaxtonGM</DisplayName>
        <AccountId>195</AccountId>
        <AccountType/>
      </UserInfo>
    </Author0>
    <Document_x0020_TypeTaxHTField0 xmlns="1f4d49c6-c94c-408e-a4f8-a9d95c7cb601">
      <Terms xmlns="http://schemas.microsoft.com/office/infopath/2007/PartnerControls">
        <TermInfo xmlns="http://schemas.microsoft.com/office/infopath/2007/PartnerControls">
          <TermName xmlns="http://schemas.microsoft.com/office/infopath/2007/PartnerControls">Template</TermName>
          <TermId xmlns="http://schemas.microsoft.com/office/infopath/2007/PartnerControls">8b33b05b-b7fd-44df-b16c-1590a5ac53cd</TermId>
        </TermInfo>
      </Terms>
    </Document_x0020_TypeTaxHTField0>
    <AudienceTaxHTField0 xmlns="1f4d49c6-c94c-408e-a4f8-a9d95c7cb601">
      <Terms xmlns="http://schemas.microsoft.com/office/infopath/2007/PartnerControls">
        <TermInfo xmlns="http://schemas.microsoft.com/office/infopath/2007/PartnerControls">
          <TermName xmlns="http://schemas.microsoft.com/office/infopath/2007/PartnerControls">All</TermName>
          <TermId xmlns="http://schemas.microsoft.com/office/infopath/2007/PartnerControls">177699b7-88c5-40bb-86a0-6f74c3a7a458</TermId>
        </TermInfo>
      </Terms>
    </AudienceTaxHTField0>
    <_dlc_DocId xmlns="77c1c90c-9646-4c21-9ec5-64b42991447a">F6RNV6RPPMX2-7-13084</_dlc_DocId>
    <_dlc_DocIdUrl xmlns="77c1c90c-9646-4c21-9ec5-64b42991447a">
      <Url>http://gar.regn.net/sites/docs/_layouts/DocIdRedir.aspx?ID=F6RNV6RPPMX2-7-13084</Url>
      <Description>F6RNV6RPPMX2-7-13084</Description>
    </_dlc_DocIdUrl>
    <IconOverlay xmlns="http://schemas.microsoft.com/sharepoint/v4"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LongProperties xmlns="http://schemas.microsoft.com/office/2006/metadata/longProperties"/>
</file>

<file path=customXml/item5.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E2717CB5-2726-4252-8810-1549A1D9388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4d49c6-c94c-408e-a4f8-a9d95c7cb601"/>
    <ds:schemaRef ds:uri="77c1c90c-9646-4c21-9ec5-64b42991447a"/>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2B1584E-5C7F-4E79-8DAE-E496A45BFACF}">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schemas.microsoft.com/sharepoint/v4"/>
    <ds:schemaRef ds:uri="http://purl.org/dc/terms/"/>
    <ds:schemaRef ds:uri="77c1c90c-9646-4c21-9ec5-64b42991447a"/>
    <ds:schemaRef ds:uri="1f4d49c6-c94c-408e-a4f8-a9d95c7cb601"/>
    <ds:schemaRef ds:uri="http://www.w3.org/XML/1998/namespace"/>
    <ds:schemaRef ds:uri="http://purl.org/dc/dcmitype/"/>
  </ds:schemaRefs>
</ds:datastoreItem>
</file>

<file path=customXml/itemProps3.xml><?xml version="1.0" encoding="utf-8"?>
<ds:datastoreItem xmlns:ds="http://schemas.openxmlformats.org/officeDocument/2006/customXml" ds:itemID="{64BBEA87-C14A-4BEB-A0DD-4605911CF2C9}">
  <ds:schemaRefs>
    <ds:schemaRef ds:uri="http://schemas.microsoft.com/sharepoint/v3/contenttype/forms"/>
  </ds:schemaRefs>
</ds:datastoreItem>
</file>

<file path=customXml/itemProps4.xml><?xml version="1.0" encoding="utf-8"?>
<ds:datastoreItem xmlns:ds="http://schemas.openxmlformats.org/officeDocument/2006/customXml" ds:itemID="{B3BE2A8E-D298-4857-B50A-4E87308D4532}">
  <ds:schemaRefs>
    <ds:schemaRef ds:uri="http://schemas.microsoft.com/office/2006/metadata/longProperties"/>
  </ds:schemaRefs>
</ds:datastoreItem>
</file>

<file path=customXml/itemProps5.xml><?xml version="1.0" encoding="utf-8"?>
<ds:datastoreItem xmlns:ds="http://schemas.openxmlformats.org/officeDocument/2006/customXml" ds:itemID="{C6FAE2B4-D976-4820-B4F3-A83CC20FD570}">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59</vt:i4>
      </vt:variant>
    </vt:vector>
  </HeadingPairs>
  <TitlesOfParts>
    <vt:vector size="77" baseType="lpstr">
      <vt:lpstr>Instructions</vt:lpstr>
      <vt:lpstr>ScoreCard</vt:lpstr>
      <vt:lpstr>Summary</vt:lpstr>
      <vt:lpstr>1. Secure</vt:lpstr>
      <vt:lpstr>2. Compliant</vt:lpstr>
      <vt:lpstr>3. Reliable</vt:lpstr>
      <vt:lpstr>4. Scalable</vt:lpstr>
      <vt:lpstr>5. Manageable</vt:lpstr>
      <vt:lpstr>6. Simple</vt:lpstr>
      <vt:lpstr>7. Modular</vt:lpstr>
      <vt:lpstr>8. Maintainable</vt:lpstr>
      <vt:lpstr>9. Managed Data</vt:lpstr>
      <vt:lpstr>10. Global</vt:lpstr>
      <vt:lpstr>Debt Capture</vt:lpstr>
      <vt:lpstr>Mapping</vt:lpstr>
      <vt:lpstr>Messages</vt:lpstr>
      <vt:lpstr>References</vt:lpstr>
      <vt:lpstr>Change History</vt:lpstr>
      <vt:lpstr>Assessment_Section</vt:lpstr>
      <vt:lpstr>Business_Objectives_Section</vt:lpstr>
      <vt:lpstr>DateOfReview</vt:lpstr>
      <vt:lpstr>Debt_Capture_Section</vt:lpstr>
      <vt:lpstr>DomainArchitectId</vt:lpstr>
      <vt:lpstr>DomainArchitectName</vt:lpstr>
      <vt:lpstr>EnterpriseArchitectId</vt:lpstr>
      <vt:lpstr>EnterpriseArchitectName</vt:lpstr>
      <vt:lpstr>Exceptions_Section</vt:lpstr>
      <vt:lpstr>Global_Action_X</vt:lpstr>
      <vt:lpstr>Global_Comment_X</vt:lpstr>
      <vt:lpstr>Global_Risk_X</vt:lpstr>
      <vt:lpstr>GovernanceLevel</vt:lpstr>
      <vt:lpstr>GovLevelObjectivePrincipleMapping</vt:lpstr>
      <vt:lpstr>GR_DEBT_BEGIN</vt:lpstr>
      <vt:lpstr>GR_DEBT_END</vt:lpstr>
      <vt:lpstr>NbrExceptions</vt:lpstr>
      <vt:lpstr>NbrPermWaivers</vt:lpstr>
      <vt:lpstr>NbrTempWaivers</vt:lpstr>
      <vt:lpstr>OldRollupValues</vt:lpstr>
      <vt:lpstr>Operable_Action_X</vt:lpstr>
      <vt:lpstr>Operable_Comment_X</vt:lpstr>
      <vt:lpstr>Operable_Risk_X</vt:lpstr>
      <vt:lpstr>'1. Secure'!Print_Area</vt:lpstr>
      <vt:lpstr>'10. Global'!Print_Area</vt:lpstr>
      <vt:lpstr>'2. Compliant'!Print_Area</vt:lpstr>
      <vt:lpstr>'3. Reliable'!Print_Area</vt:lpstr>
      <vt:lpstr>'4. Scalable'!Print_Area</vt:lpstr>
      <vt:lpstr>'5. Manageable'!Print_Area</vt:lpstr>
      <vt:lpstr>'6. Simple'!Print_Area</vt:lpstr>
      <vt:lpstr>'7. Modular'!Print_Area</vt:lpstr>
      <vt:lpstr>'8. Maintainable'!Print_Area</vt:lpstr>
      <vt:lpstr>'9. Managed Data'!Print_Area</vt:lpstr>
      <vt:lpstr>Instructions!Print_Area</vt:lpstr>
      <vt:lpstr>ScoreCard!Print_Area</vt:lpstr>
      <vt:lpstr>'Change History'!Print_Titles</vt:lpstr>
      <vt:lpstr>PROFILES_BEGIN</vt:lpstr>
      <vt:lpstr>PROFILES_END</vt:lpstr>
      <vt:lpstr>RiskValues</vt:lpstr>
      <vt:lpstr>RollupValues</vt:lpstr>
      <vt:lpstr>RollupValuesForPrinciples</vt:lpstr>
      <vt:lpstr>Safe_Action_X</vt:lpstr>
      <vt:lpstr>Safe_Comment_X</vt:lpstr>
      <vt:lpstr>Safe_Risk_X</vt:lpstr>
      <vt:lpstr>Scorecard_Profiles_Section</vt:lpstr>
      <vt:lpstr>Scorecard_Type</vt:lpstr>
      <vt:lpstr>ScorecardTemplateVersion</vt:lpstr>
      <vt:lpstr>ScoringPhase</vt:lpstr>
      <vt:lpstr>SummaryComments</vt:lpstr>
      <vt:lpstr>SummaryOfChanges</vt:lpstr>
      <vt:lpstr>SummaryScore</vt:lpstr>
      <vt:lpstr>Sustainable_Action_X</vt:lpstr>
      <vt:lpstr>Sustainable_Comment_X</vt:lpstr>
      <vt:lpstr>Sustainable_Risk_X</vt:lpstr>
      <vt:lpstr>SystemAssetDescription</vt:lpstr>
      <vt:lpstr>SystemAssetId</vt:lpstr>
      <vt:lpstr>SystemAssetName</vt:lpstr>
      <vt:lpstr>SystemAssetVersion</vt:lpstr>
      <vt:lpstr>ValidValues</vt:lpstr>
    </vt:vector>
  </TitlesOfParts>
  <Company>LexisNexis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System Asset Scorecard</dc:title>
  <dc:creator>Ian Koenig</dc:creator>
  <cp:lastModifiedBy>Koenig, Ian S. (LNG-NYC)</cp:lastModifiedBy>
  <cp:lastPrinted>2017-05-25T14:51:42Z</cp:lastPrinted>
  <dcterms:created xsi:type="dcterms:W3CDTF">2006-07-13T15:23:15Z</dcterms:created>
  <dcterms:modified xsi:type="dcterms:W3CDTF">2017-06-14T17:56:29Z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0x010100BA5232AB9D30134EB866F6A9E544BA34</vt:lpwstr>
  </property>
  <property fmtid="{D5CDD505-2E9C-101B-9397-08002B2CF9AE}" pid="4" name="_dlc_DocId">
    <vt:lpwstr>F6RNV6RPPMX2-7-6876</vt:lpwstr>
  </property>
  <property fmtid="{D5CDD505-2E9C-101B-9397-08002B2CF9AE}" pid="5" name="_dlc_DocIdItemGuid">
    <vt:lpwstr>dfafdb78-0a28-4f0d-ac7e-619d5d0778a8</vt:lpwstr>
  </property>
  <property fmtid="{D5CDD505-2E9C-101B-9397-08002B2CF9AE}" pid="6" name="_dlc_DocIdUrl">
    <vt:lpwstr>http://gar.regn.net/sites/docs/_layouts/DocIdRedir.aspx?ID=F6RNV6RPPMX2-7-6876, F6RNV6RPPMX2-7-6876</vt:lpwstr>
  </property>
  <property fmtid="{D5CDD505-2E9C-101B-9397-08002B2CF9AE}" pid="7" name="display_urn:schemas-microsoft-com:office:office#Author0">
    <vt:lpwstr>Steiner, Don P. (LNG-DAY)</vt:lpwstr>
  </property>
  <property fmtid="{D5CDD505-2E9C-101B-9397-08002B2CF9AE}" pid="8" name="Audience">
    <vt:lpwstr>4;#All|177699b7-88c5-40bb-86a0-6f74c3a7a458</vt:lpwstr>
  </property>
  <property fmtid="{D5CDD505-2E9C-101B-9397-08002B2CF9AE}" pid="9" name="Publisher">
    <vt:lpwstr>10;#GAR EA|d1a538f9-d372-40f1-a69a-e5bc646dcdeb</vt:lpwstr>
  </property>
  <property fmtid="{D5CDD505-2E9C-101B-9397-08002B2CF9AE}" pid="10" name="Project/Asset">
    <vt:lpwstr>31;#Not Applicable|b5089deb-608f-4c1e-b2b9-f5a32dab7531</vt:lpwstr>
  </property>
  <property fmtid="{D5CDD505-2E9C-101B-9397-08002B2CF9AE}" pid="11" name="Document Type">
    <vt:lpwstr>69;#Template|8b33b05b-b7fd-44df-b16c-1590a5ac53cd</vt:lpwstr>
  </property>
  <property fmtid="{D5CDD505-2E9C-101B-9397-08002B2CF9AE}" pid="12" name="WorkbookGuid">
    <vt:lpwstr>339aa74f-874b-419a-abc9-488683138b59</vt:lpwstr>
  </property>
</Properties>
</file>