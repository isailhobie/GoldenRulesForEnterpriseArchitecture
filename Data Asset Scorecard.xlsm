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mc:AlternateContent xmlns:mc="http://schemas.openxmlformats.org/markup-compatibility/2006">
    <mc:Choice Requires="x15">
      <x15ac:absPath xmlns:x15ac="http://schemas.microsoft.com/office/spreadsheetml/2010/11/ac" url="C:\Users\hillsts\Documents\GAR\Enterprise Architecture\Governance\"/>
    </mc:Choice>
  </mc:AlternateContent>
  <bookViews>
    <workbookView xWindow="0" yWindow="2340" windowWidth="22125" windowHeight="11220" tabRatio="750" activeTab="1"/>
  </bookViews>
  <sheets>
    <sheet name="Instructions" sheetId="13" r:id="rId1"/>
    <sheet name="ScoreCard" sheetId="21" r:id="rId2"/>
    <sheet name="Summary" sheetId="19" r:id="rId3"/>
    <sheet name="1. Compliant Data" sheetId="31" r:id="rId4"/>
    <sheet name="2. Reliable Data" sheetId="2" r:id="rId5"/>
    <sheet name="3. Master Data" sheetId="3" r:id="rId6"/>
    <sheet name="4. Flexible Data" sheetId="26" r:id="rId7"/>
    <sheet name="5. Global Data" sheetId="10" r:id="rId8"/>
    <sheet name="Debt Capture" sheetId="33" r:id="rId9"/>
    <sheet name="Mapping" sheetId="35" state="hidden" r:id="rId10"/>
    <sheet name="Messages" sheetId="36" r:id="rId11"/>
    <sheet name="References" sheetId="34" r:id="rId12"/>
    <sheet name="Change History" sheetId="32" r:id="rId13"/>
  </sheets>
  <functionGroups builtInGroupCount="18"/>
  <definedNames>
    <definedName name="_xlnm._FilterDatabase" localSheetId="3" hidden="1">'1. Compliant Data'!$S$4:$S$9</definedName>
    <definedName name="_xlnm._FilterDatabase" localSheetId="4" hidden="1">'2. Reliable Data'!$S$4:$S$28</definedName>
    <definedName name="_xlnm._FilterDatabase" localSheetId="5" hidden="1">'3. Master Data'!$S$4:$S$20</definedName>
    <definedName name="_xlnm._FilterDatabase" localSheetId="6" hidden="1">'4. Flexible Data'!$S$4:$S$182</definedName>
    <definedName name="_xlnm._FilterDatabase" localSheetId="7" hidden="1">'5. Global Data'!$S$3:$S$169</definedName>
    <definedName name="Assessment_Section">ScoreCard!$A$4</definedName>
    <definedName name="Business_Objectives_Section">ScoreCard!$A$10</definedName>
    <definedName name="DateOfReview">ScoreCard!$A$6</definedName>
    <definedName name="Debt_Capture_Section">ScoreCard!$A$16</definedName>
    <definedName name="DomainArchitectId">ScoreCard!$C$6</definedName>
    <definedName name="DomainArchitectName">ScoreCard!$D$6</definedName>
    <definedName name="EnterpriseArchitectId">ScoreCard!$E$6</definedName>
    <definedName name="EnterpriseArchitectName">ScoreCard!$F$6</definedName>
    <definedName name="Exceptions_Section">ScoreCard!$A$35</definedName>
    <definedName name="Global_Action_X">ScoreCard!$D$15</definedName>
    <definedName name="Global_Comment_X">ScoreCard!$G$15</definedName>
    <definedName name="Global_Risk_X">ScoreCard!$C$15</definedName>
    <definedName name="GovernanceLevel">ScoreCard!$D$9</definedName>
    <definedName name="GovLevelObjectivePrincipleMapping">Instructions!$A$92:$C$95</definedName>
    <definedName name="GR_DEBT_BEGIN">'Debt Capture'!$A$4</definedName>
    <definedName name="GR_DEBT_END">'Debt Capture'!$A$6:$D$6</definedName>
    <definedName name="NbrExceptions">ScoreCard!$J$6</definedName>
    <definedName name="NbrPermWaivers">ScoreCard!$K$6</definedName>
    <definedName name="NbrTempWaivers">ScoreCard!$L$6</definedName>
    <definedName name="OldRollupValues">Instructions!$B$78:$B$81</definedName>
    <definedName name="Operable_Action_X">ScoreCard!$D$13</definedName>
    <definedName name="Operable_Comment_X">ScoreCard!$G$13</definedName>
    <definedName name="Operable_Risk_X">ScoreCard!$C$13</definedName>
    <definedName name="_xlnm.Print_Area" localSheetId="3">'1. Compliant Data'!$B$1:$G$13</definedName>
    <definedName name="_xlnm.Print_Area" localSheetId="4">'2. Reliable Data'!$B$1:$G$43</definedName>
    <definedName name="_xlnm.Print_Area" localSheetId="5">'3. Master Data'!$B$1:$G$20</definedName>
    <definedName name="_xlnm.Print_Area" localSheetId="6">'4. Flexible Data'!$B$1:$G$26</definedName>
    <definedName name="_xlnm.Print_Area" localSheetId="7">'5. Global Data'!$B$1:$G$12</definedName>
    <definedName name="_xlnm.Print_Area" localSheetId="0">Instructions!$A$1:$C$95</definedName>
    <definedName name="_xlnm.Print_Area" localSheetId="1">ScoreCard!$A$1:$L$36</definedName>
    <definedName name="_xlnm.Print_Titles" localSheetId="12">'Change History'!$1:$2</definedName>
    <definedName name="PROFILES_BEGIN">ScoreCard!$A$27</definedName>
    <definedName name="PROFILES_END">ScoreCard!$A$33</definedName>
    <definedName name="RiskValues">Instructions!$B$56:$B$58</definedName>
    <definedName name="RollupValues">Instructions!$B$78:$B$81</definedName>
    <definedName name="RollupValuesForPrinciples">Instructions!$B$78:$B$80</definedName>
    <definedName name="Safe_Action_X">ScoreCard!$D$12</definedName>
    <definedName name="Safe_Comment_X">ScoreCard!$G$12</definedName>
    <definedName name="Safe_Risk_X">ScoreCard!$C$12</definedName>
    <definedName name="Scorecard_Profiles_Section">ScoreCard!$A$25</definedName>
    <definedName name="Scorecard_Type">ScoreCard!$A$3</definedName>
    <definedName name="ScorecardTemplateVersion">Instructions!$C$68</definedName>
    <definedName name="ScoringPhase">ScoreCard!$L$3</definedName>
    <definedName name="SummaryComments">ScoreCard!$D$7</definedName>
    <definedName name="SummaryOfChanges">ScoreCard!$D$8</definedName>
    <definedName name="SummaryScore">ScoreCard!$G$6</definedName>
    <definedName name="Sustainable_Action_X">ScoreCard!$D$14</definedName>
    <definedName name="Sustainable_Comment_X">ScoreCard!$G$14</definedName>
    <definedName name="Sustainable_Risk_X">ScoreCard!$C$14</definedName>
    <definedName name="SystemAssetDescription">ScoreCard!$F$3</definedName>
    <definedName name="SystemAssetId">ScoreCard!$B$3</definedName>
    <definedName name="SystemAssetName">ScoreCard!$C$3</definedName>
    <definedName name="SystemAssetVersion">ScoreCard!$B$6</definedName>
    <definedName name="ValidValues">Instructions!$B$84:$B$88</definedName>
  </definedNames>
  <calcPr calcId="171027"/>
</workbook>
</file>

<file path=xl/calcChain.xml><?xml version="1.0" encoding="utf-8"?>
<calcChain xmlns="http://schemas.openxmlformats.org/spreadsheetml/2006/main">
  <c r="C69" i="13" l="1"/>
  <c r="J11" i="3" l="1"/>
  <c r="K11" i="3"/>
  <c r="L11" i="3"/>
  <c r="M11" i="3"/>
  <c r="N11" i="3"/>
  <c r="O11" i="3"/>
  <c r="P11" i="3"/>
  <c r="Q11" i="3"/>
  <c r="R11" i="3"/>
  <c r="S11" i="3"/>
  <c r="T11" i="3"/>
  <c r="U11" i="3"/>
  <c r="V11" i="3"/>
  <c r="I11" i="3"/>
  <c r="J39" i="2"/>
  <c r="K39" i="2"/>
  <c r="L39" i="2"/>
  <c r="M39" i="2"/>
  <c r="N39" i="2"/>
  <c r="O39" i="2"/>
  <c r="P39" i="2"/>
  <c r="Q39" i="2"/>
  <c r="R39" i="2"/>
  <c r="S39" i="2"/>
  <c r="T39" i="2"/>
  <c r="U39" i="2"/>
  <c r="V39" i="2"/>
  <c r="I39" i="2"/>
  <c r="J26" i="2"/>
  <c r="K26" i="2"/>
  <c r="L26" i="2"/>
  <c r="M26" i="2"/>
  <c r="N26" i="2"/>
  <c r="O26" i="2"/>
  <c r="P26" i="2"/>
  <c r="Q26" i="2"/>
  <c r="R26" i="2"/>
  <c r="S26" i="2"/>
  <c r="T26" i="2"/>
  <c r="U26" i="2"/>
  <c r="V26" i="2"/>
  <c r="I26" i="2"/>
  <c r="J20" i="2"/>
  <c r="K20" i="2"/>
  <c r="L20" i="2"/>
  <c r="M20" i="2"/>
  <c r="N20" i="2"/>
  <c r="O20" i="2"/>
  <c r="P20" i="2"/>
  <c r="Q20" i="2"/>
  <c r="R20" i="2"/>
  <c r="S20" i="2"/>
  <c r="T20" i="2"/>
  <c r="U20" i="2"/>
  <c r="V20" i="2"/>
  <c r="I20" i="2"/>
  <c r="J15" i="2"/>
  <c r="K15" i="2"/>
  <c r="L15" i="2"/>
  <c r="M15" i="2"/>
  <c r="N15" i="2"/>
  <c r="O15" i="2"/>
  <c r="P15" i="2"/>
  <c r="Q15" i="2"/>
  <c r="R15" i="2"/>
  <c r="S15" i="2"/>
  <c r="T15" i="2"/>
  <c r="U15" i="2"/>
  <c r="V15" i="2"/>
  <c r="I15" i="2"/>
  <c r="J10" i="2"/>
  <c r="K10" i="2"/>
  <c r="L10" i="2"/>
  <c r="M10" i="2"/>
  <c r="N10" i="2"/>
  <c r="O10" i="2"/>
  <c r="P10" i="2"/>
  <c r="Q10" i="2"/>
  <c r="R10" i="2"/>
  <c r="S10" i="2"/>
  <c r="T10" i="2"/>
  <c r="U10" i="2"/>
  <c r="V10" i="2"/>
  <c r="I10" i="2"/>
  <c r="J6" i="2"/>
  <c r="K6" i="2"/>
  <c r="L6" i="2"/>
  <c r="M6" i="2"/>
  <c r="N6" i="2"/>
  <c r="O6" i="2"/>
  <c r="P6" i="2"/>
  <c r="Q6" i="2"/>
  <c r="R6" i="2"/>
  <c r="S6" i="2"/>
  <c r="T6" i="2"/>
  <c r="U6" i="2"/>
  <c r="V6" i="2"/>
  <c r="I6" i="2"/>
  <c r="J6" i="31"/>
  <c r="K6" i="31"/>
  <c r="L6" i="31"/>
  <c r="M6" i="31"/>
  <c r="N6" i="31"/>
  <c r="O6" i="31"/>
  <c r="P6" i="31"/>
  <c r="Q6" i="31"/>
  <c r="R6" i="31"/>
  <c r="S6" i="31"/>
  <c r="T6" i="31"/>
  <c r="U6" i="31"/>
  <c r="V6" i="31"/>
  <c r="I6" i="31"/>
  <c r="M10" i="19" l="1"/>
  <c r="L10" i="19"/>
  <c r="G10" i="19"/>
  <c r="M3" i="19"/>
  <c r="L3" i="19"/>
  <c r="K3" i="19"/>
  <c r="N3" i="19" s="1"/>
  <c r="G3" i="19"/>
  <c r="G19" i="19" l="1"/>
  <c r="K19" i="19"/>
  <c r="N19" i="19" s="1"/>
  <c r="L19" i="19"/>
  <c r="M19" i="19"/>
  <c r="E14" i="19" l="1"/>
  <c r="E13" i="19"/>
  <c r="E12" i="19"/>
  <c r="D14" i="19"/>
  <c r="D13" i="19"/>
  <c r="D12" i="19"/>
  <c r="C14" i="19"/>
  <c r="C13" i="19"/>
  <c r="C12" i="19"/>
  <c r="B14" i="19"/>
  <c r="B13" i="19"/>
  <c r="B12" i="19"/>
  <c r="A14" i="19"/>
  <c r="K14" i="19" s="1"/>
  <c r="A13" i="19"/>
  <c r="K13" i="19" s="1"/>
  <c r="A12" i="19"/>
  <c r="E10" i="19"/>
  <c r="D10" i="19"/>
  <c r="C10" i="19"/>
  <c r="B10" i="19"/>
  <c r="A10" i="19"/>
  <c r="K10" i="19" s="1"/>
  <c r="N10" i="19" s="1"/>
  <c r="M13" i="19"/>
  <c r="L13" i="19"/>
  <c r="G13" i="19"/>
  <c r="M12" i="19"/>
  <c r="L12" i="19"/>
  <c r="G12" i="19"/>
  <c r="K12" i="19"/>
  <c r="M14" i="19"/>
  <c r="L14" i="19"/>
  <c r="G14" i="19"/>
  <c r="A5" i="19"/>
  <c r="K5" i="19" s="1"/>
  <c r="B5" i="19"/>
  <c r="C5" i="19"/>
  <c r="D5" i="19"/>
  <c r="E5" i="19"/>
  <c r="G5" i="19"/>
  <c r="L5" i="19"/>
  <c r="M5" i="19"/>
  <c r="M23" i="19"/>
  <c r="L23" i="19"/>
  <c r="G23" i="19"/>
  <c r="M22" i="19"/>
  <c r="L22" i="19"/>
  <c r="G22" i="19"/>
  <c r="M21" i="19"/>
  <c r="L21" i="19"/>
  <c r="G21" i="19"/>
  <c r="M20" i="19"/>
  <c r="L20" i="19"/>
  <c r="G20" i="19"/>
  <c r="M18" i="19"/>
  <c r="L18" i="19"/>
  <c r="G18" i="19"/>
  <c r="M25" i="19"/>
  <c r="L25" i="19"/>
  <c r="G25" i="19"/>
  <c r="M24" i="19"/>
  <c r="L24" i="19"/>
  <c r="G24" i="19"/>
  <c r="M17" i="19"/>
  <c r="L17" i="19"/>
  <c r="G17" i="19"/>
  <c r="M16" i="19"/>
  <c r="L16" i="19"/>
  <c r="G16" i="19"/>
  <c r="M15" i="19"/>
  <c r="L15" i="19"/>
  <c r="G15" i="19"/>
  <c r="M11" i="19"/>
  <c r="L11" i="19"/>
  <c r="G11" i="19"/>
  <c r="M9" i="19"/>
  <c r="L9" i="19"/>
  <c r="G9" i="19"/>
  <c r="M8" i="19"/>
  <c r="L8" i="19"/>
  <c r="G8" i="19"/>
  <c r="M7" i="19"/>
  <c r="L7" i="19"/>
  <c r="G7" i="19"/>
  <c r="M6" i="19"/>
  <c r="L6" i="19"/>
  <c r="G6" i="19"/>
  <c r="M4" i="19"/>
  <c r="L4" i="19"/>
  <c r="G4" i="19"/>
  <c r="L12" i="21"/>
  <c r="K12" i="21"/>
  <c r="E19" i="21"/>
  <c r="D19" i="21"/>
  <c r="C14" i="33"/>
  <c r="C15" i="33"/>
  <c r="D21" i="21" s="1"/>
  <c r="C16" i="33"/>
  <c r="D22" i="21" s="1"/>
  <c r="K14" i="21" s="1"/>
  <c r="C17" i="33"/>
  <c r="D23" i="21" s="1"/>
  <c r="C13" i="33"/>
  <c r="H24" i="2"/>
  <c r="H23" i="2"/>
  <c r="H22" i="2"/>
  <c r="H21" i="2"/>
  <c r="U19" i="2"/>
  <c r="S19" i="2"/>
  <c r="R19" i="2"/>
  <c r="Q19" i="2"/>
  <c r="P19" i="2"/>
  <c r="O19" i="2"/>
  <c r="M19" i="2"/>
  <c r="L19" i="2"/>
  <c r="K19" i="2"/>
  <c r="J19" i="2"/>
  <c r="I19" i="2"/>
  <c r="V19" i="2"/>
  <c r="T19" i="2"/>
  <c r="N19" i="2"/>
  <c r="H19" i="2"/>
  <c r="H19" i="3"/>
  <c r="H18" i="3"/>
  <c r="H17" i="3"/>
  <c r="H41" i="2"/>
  <c r="H40" i="2"/>
  <c r="V38" i="2"/>
  <c r="U38" i="2"/>
  <c r="S38" i="2"/>
  <c r="R38" i="2"/>
  <c r="Q38" i="2"/>
  <c r="P38" i="2"/>
  <c r="O38" i="2"/>
  <c r="N38" i="2"/>
  <c r="M38" i="2"/>
  <c r="L38" i="2"/>
  <c r="K38" i="2"/>
  <c r="J38" i="2"/>
  <c r="I38" i="2"/>
  <c r="T38" i="2"/>
  <c r="H38" i="2"/>
  <c r="H18" i="2"/>
  <c r="H37" i="2"/>
  <c r="V36" i="2"/>
  <c r="V35" i="2" s="1"/>
  <c r="U36" i="2"/>
  <c r="U35" i="2" s="1"/>
  <c r="T36" i="2"/>
  <c r="S36" i="2"/>
  <c r="R36" i="2"/>
  <c r="R35" i="2" s="1"/>
  <c r="Q36" i="2"/>
  <c r="Q35" i="2" s="1"/>
  <c r="P36" i="2"/>
  <c r="P35" i="2" s="1"/>
  <c r="O36" i="2"/>
  <c r="O35" i="2" s="1"/>
  <c r="N36" i="2"/>
  <c r="N35" i="2" s="1"/>
  <c r="M36" i="2"/>
  <c r="M35" i="2" s="1"/>
  <c r="L36" i="2"/>
  <c r="L35" i="2" s="1"/>
  <c r="K36" i="2"/>
  <c r="K35" i="2" s="1"/>
  <c r="J36" i="2"/>
  <c r="J35" i="2" s="1"/>
  <c r="I36" i="2"/>
  <c r="I35" i="2" s="1"/>
  <c r="T35" i="2"/>
  <c r="S35" i="2"/>
  <c r="H35" i="2"/>
  <c r="H8" i="2"/>
  <c r="H43" i="2"/>
  <c r="H42" i="2"/>
  <c r="H34" i="2"/>
  <c r="H33" i="2"/>
  <c r="H32" i="2"/>
  <c r="H31" i="2"/>
  <c r="V30" i="2"/>
  <c r="V29" i="2" s="1"/>
  <c r="U30" i="2"/>
  <c r="U29" i="2" s="1"/>
  <c r="T30" i="2"/>
  <c r="T29" i="2" s="1"/>
  <c r="S30" i="2"/>
  <c r="S29" i="2" s="1"/>
  <c r="R30" i="2"/>
  <c r="R29" i="2" s="1"/>
  <c r="Q30" i="2"/>
  <c r="Q29" i="2" s="1"/>
  <c r="P30" i="2"/>
  <c r="P29" i="2" s="1"/>
  <c r="O30" i="2"/>
  <c r="O29" i="2" s="1"/>
  <c r="N30" i="2"/>
  <c r="N29" i="2" s="1"/>
  <c r="M30" i="2"/>
  <c r="M29" i="2" s="1"/>
  <c r="L30" i="2"/>
  <c r="L29" i="2" s="1"/>
  <c r="K30" i="2"/>
  <c r="K29" i="2" s="1"/>
  <c r="J30" i="2"/>
  <c r="J29" i="2" s="1"/>
  <c r="I30" i="2"/>
  <c r="I29" i="2" s="1"/>
  <c r="H29" i="2"/>
  <c r="H10" i="31"/>
  <c r="C70" i="13"/>
  <c r="C68" i="13"/>
  <c r="C71" i="13"/>
  <c r="N12" i="19" l="1"/>
  <c r="N13" i="19"/>
  <c r="N14" i="19"/>
  <c r="N5" i="19"/>
  <c r="H9" i="26"/>
  <c r="H8" i="26"/>
  <c r="D14" i="33" l="1"/>
  <c r="D15" i="33"/>
  <c r="E21" i="21" s="1"/>
  <c r="D16" i="33"/>
  <c r="E22" i="21" s="1"/>
  <c r="L14" i="21" s="1"/>
  <c r="D17" i="33"/>
  <c r="E23" i="21" s="1"/>
  <c r="D13" i="33"/>
  <c r="J23" i="26" l="1"/>
  <c r="J22" i="26" s="1"/>
  <c r="K23" i="26"/>
  <c r="L23" i="26"/>
  <c r="M23" i="26"/>
  <c r="N23" i="26"/>
  <c r="O23" i="26"/>
  <c r="O22" i="26" s="1"/>
  <c r="P23" i="26"/>
  <c r="P22" i="26" s="1"/>
  <c r="Q23" i="26"/>
  <c r="Q22" i="26" s="1"/>
  <c r="R23" i="26"/>
  <c r="R22" i="26" s="1"/>
  <c r="S23" i="26"/>
  <c r="T23" i="26"/>
  <c r="U23" i="26"/>
  <c r="V23" i="26"/>
  <c r="I23" i="26"/>
  <c r="I22" i="26" s="1"/>
  <c r="H26" i="26"/>
  <c r="H24" i="26"/>
  <c r="H25" i="26"/>
  <c r="E23" i="19"/>
  <c r="D23" i="19"/>
  <c r="B23" i="19"/>
  <c r="A23" i="19"/>
  <c r="K23" i="19" s="1"/>
  <c r="N23" i="19" s="1"/>
  <c r="C23" i="19"/>
  <c r="V22" i="26"/>
  <c r="U22" i="26"/>
  <c r="T22" i="26"/>
  <c r="S22" i="26"/>
  <c r="N22" i="26"/>
  <c r="M22" i="26"/>
  <c r="L22" i="26"/>
  <c r="K22" i="26"/>
  <c r="H22" i="26"/>
  <c r="V20" i="26" l="1"/>
  <c r="V19" i="26" s="1"/>
  <c r="U20" i="26"/>
  <c r="U19" i="26" s="1"/>
  <c r="V16" i="26"/>
  <c r="V15" i="26" s="1"/>
  <c r="U16" i="26"/>
  <c r="U15" i="26" s="1"/>
  <c r="V12" i="26"/>
  <c r="V11" i="26" s="1"/>
  <c r="U12" i="26"/>
  <c r="U11" i="26" s="1"/>
  <c r="V6" i="26"/>
  <c r="V5" i="26" s="1"/>
  <c r="U6" i="26"/>
  <c r="U5" i="26" s="1"/>
  <c r="V6" i="10"/>
  <c r="V5" i="10" s="1"/>
  <c r="U6" i="10"/>
  <c r="U5" i="10" s="1"/>
  <c r="V10" i="3"/>
  <c r="U10" i="3"/>
  <c r="V6" i="3"/>
  <c r="V5" i="3" s="1"/>
  <c r="U6" i="3"/>
  <c r="U5" i="3"/>
  <c r="V25" i="2"/>
  <c r="U25" i="2"/>
  <c r="V14" i="2"/>
  <c r="U14" i="2"/>
  <c r="U9" i="2" s="1"/>
  <c r="U5" i="2" s="1"/>
  <c r="V12" i="31"/>
  <c r="V11" i="31" s="1"/>
  <c r="U12" i="31"/>
  <c r="U11" i="31" s="1"/>
  <c r="V5" i="31"/>
  <c r="U5" i="31"/>
  <c r="V9" i="2" l="1"/>
  <c r="V5" i="2" s="1"/>
  <c r="H13" i="2"/>
  <c r="J20" i="26" l="1"/>
  <c r="J19" i="26" s="1"/>
  <c r="K20" i="26"/>
  <c r="L20" i="26"/>
  <c r="L19" i="26" s="1"/>
  <c r="M20" i="26"/>
  <c r="M19" i="26" s="1"/>
  <c r="N20" i="26"/>
  <c r="N19" i="26" s="1"/>
  <c r="O20" i="26"/>
  <c r="O19" i="26" s="1"/>
  <c r="P20" i="26"/>
  <c r="P19" i="26" s="1"/>
  <c r="Q20" i="26"/>
  <c r="Q19" i="26" s="1"/>
  <c r="R20" i="26"/>
  <c r="R19" i="26" s="1"/>
  <c r="S20" i="26"/>
  <c r="S19" i="26" s="1"/>
  <c r="T20" i="26"/>
  <c r="T19" i="26" s="1"/>
  <c r="I20" i="26"/>
  <c r="I19" i="26" s="1"/>
  <c r="K19" i="26"/>
  <c r="T16" i="26"/>
  <c r="T15" i="26" s="1"/>
  <c r="S16" i="26"/>
  <c r="S15" i="26" s="1"/>
  <c r="R16" i="26"/>
  <c r="R15" i="26" s="1"/>
  <c r="Q16" i="26"/>
  <c r="P16" i="26"/>
  <c r="P15" i="26" s="1"/>
  <c r="O16" i="26"/>
  <c r="O15" i="26" s="1"/>
  <c r="N16" i="26"/>
  <c r="N15" i="26" s="1"/>
  <c r="M16" i="26"/>
  <c r="M15" i="26" s="1"/>
  <c r="L16" i="26"/>
  <c r="L15" i="26" s="1"/>
  <c r="K16" i="26"/>
  <c r="K15" i="26" s="1"/>
  <c r="J16" i="26"/>
  <c r="J15" i="26" s="1"/>
  <c r="I16" i="26"/>
  <c r="I15" i="26" s="1"/>
  <c r="Q15" i="26"/>
  <c r="T12" i="26"/>
  <c r="T11" i="26" s="1"/>
  <c r="S12" i="26"/>
  <c r="S11" i="26" s="1"/>
  <c r="R12" i="26"/>
  <c r="R11" i="26" s="1"/>
  <c r="Q12" i="26"/>
  <c r="Q11" i="26" s="1"/>
  <c r="P12" i="26"/>
  <c r="P11" i="26" s="1"/>
  <c r="O12" i="26"/>
  <c r="O11" i="26" s="1"/>
  <c r="N12" i="26"/>
  <c r="N11" i="26" s="1"/>
  <c r="M12" i="26"/>
  <c r="M11" i="26" s="1"/>
  <c r="L12" i="26"/>
  <c r="L11" i="26" s="1"/>
  <c r="K12" i="26"/>
  <c r="K11" i="26" s="1"/>
  <c r="J12" i="26"/>
  <c r="J11" i="26" s="1"/>
  <c r="I12" i="26"/>
  <c r="I11" i="26" s="1"/>
  <c r="J6" i="26"/>
  <c r="J5" i="26" s="1"/>
  <c r="K6" i="26"/>
  <c r="K5" i="26" s="1"/>
  <c r="L6" i="26"/>
  <c r="L5" i="26" s="1"/>
  <c r="M6" i="26"/>
  <c r="M5" i="26" s="1"/>
  <c r="N6" i="26"/>
  <c r="N5" i="26" s="1"/>
  <c r="O6" i="26"/>
  <c r="O5" i="26" s="1"/>
  <c r="P6" i="26"/>
  <c r="P5" i="26" s="1"/>
  <c r="Q6" i="26"/>
  <c r="Q5" i="26" s="1"/>
  <c r="R6" i="26"/>
  <c r="R5" i="26" s="1"/>
  <c r="S6" i="26"/>
  <c r="S5" i="26" s="1"/>
  <c r="T6" i="26"/>
  <c r="T5" i="26" s="1"/>
  <c r="I6" i="26"/>
  <c r="I5" i="26" s="1"/>
  <c r="L6" i="10" l="1"/>
  <c r="L5" i="10" s="1"/>
  <c r="K6" i="10"/>
  <c r="K5" i="10" s="1"/>
  <c r="L10" i="3"/>
  <c r="K10" i="3"/>
  <c r="L6" i="3"/>
  <c r="L5" i="3" s="1"/>
  <c r="K6" i="3"/>
  <c r="K5" i="3" s="1"/>
  <c r="L25" i="2"/>
  <c r="K25" i="2"/>
  <c r="L14" i="2"/>
  <c r="L9" i="2" s="1"/>
  <c r="L5" i="2" s="1"/>
  <c r="K14" i="2"/>
  <c r="K9" i="2" s="1"/>
  <c r="K5" i="2" s="1"/>
  <c r="L12" i="31"/>
  <c r="L11" i="31" s="1"/>
  <c r="K12" i="31"/>
  <c r="K11" i="31" s="1"/>
  <c r="L5" i="31"/>
  <c r="K5" i="31"/>
  <c r="H13" i="31" l="1"/>
  <c r="T12" i="31"/>
  <c r="T11" i="31" s="1"/>
  <c r="S12" i="31"/>
  <c r="S11" i="31" s="1"/>
  <c r="R12" i="31"/>
  <c r="R11" i="31" s="1"/>
  <c r="Q12" i="31"/>
  <c r="Q11" i="31" s="1"/>
  <c r="P12" i="31"/>
  <c r="P11" i="31" s="1"/>
  <c r="O12" i="31"/>
  <c r="O11" i="31" s="1"/>
  <c r="N12" i="31"/>
  <c r="N11" i="31" s="1"/>
  <c r="M12" i="31"/>
  <c r="M11" i="31" s="1"/>
  <c r="J12" i="31"/>
  <c r="J11" i="31" s="1"/>
  <c r="I12" i="31"/>
  <c r="I11" i="31" s="1"/>
  <c r="H11" i="31"/>
  <c r="H8" i="3"/>
  <c r="J6" i="10" l="1"/>
  <c r="J5" i="10" s="1"/>
  <c r="M6" i="10"/>
  <c r="M5" i="10" s="1"/>
  <c r="N6" i="10"/>
  <c r="N5" i="10" s="1"/>
  <c r="O6" i="10"/>
  <c r="O5" i="10" s="1"/>
  <c r="P6" i="10"/>
  <c r="P5" i="10" s="1"/>
  <c r="Q6" i="10"/>
  <c r="Q5" i="10" s="1"/>
  <c r="R6" i="10"/>
  <c r="R5" i="10" s="1"/>
  <c r="S6" i="10"/>
  <c r="S5" i="10" s="1"/>
  <c r="T6" i="10"/>
  <c r="T5" i="10" s="1"/>
  <c r="I6" i="10"/>
  <c r="I5" i="10" s="1"/>
  <c r="J10" i="3"/>
  <c r="M10" i="3"/>
  <c r="N10" i="3"/>
  <c r="O10" i="3"/>
  <c r="P10" i="3"/>
  <c r="Q10" i="3"/>
  <c r="R10" i="3"/>
  <c r="S10" i="3"/>
  <c r="T10" i="3"/>
  <c r="I10" i="3"/>
  <c r="T6" i="3"/>
  <c r="T5" i="3" s="1"/>
  <c r="S6" i="3"/>
  <c r="S5" i="3" s="1"/>
  <c r="R6" i="3"/>
  <c r="R5" i="3" s="1"/>
  <c r="Q6" i="3"/>
  <c r="Q5" i="3" s="1"/>
  <c r="P6" i="3"/>
  <c r="P5" i="3" s="1"/>
  <c r="O6" i="3"/>
  <c r="O5" i="3" s="1"/>
  <c r="N6" i="3"/>
  <c r="N5" i="3" s="1"/>
  <c r="M6" i="3"/>
  <c r="M5" i="3" s="1"/>
  <c r="J6" i="3"/>
  <c r="J5" i="3" s="1"/>
  <c r="I6" i="3"/>
  <c r="I5" i="3" s="1"/>
  <c r="J25" i="2"/>
  <c r="M25" i="2"/>
  <c r="N25" i="2"/>
  <c r="O25" i="2"/>
  <c r="P25" i="2"/>
  <c r="Q25" i="2"/>
  <c r="R25" i="2"/>
  <c r="S25" i="2"/>
  <c r="T25" i="2"/>
  <c r="I25" i="2"/>
  <c r="T14" i="2"/>
  <c r="S14" i="2"/>
  <c r="R14" i="2"/>
  <c r="R9" i="2" s="1"/>
  <c r="R5" i="2" s="1"/>
  <c r="Q14" i="2"/>
  <c r="P14" i="2"/>
  <c r="O14" i="2"/>
  <c r="N14" i="2"/>
  <c r="M14" i="2"/>
  <c r="J14" i="2"/>
  <c r="J9" i="2" s="1"/>
  <c r="I14" i="2"/>
  <c r="Q9" i="2"/>
  <c r="Q5" i="2" s="1"/>
  <c r="T9" i="2"/>
  <c r="P9" i="2"/>
  <c r="J5" i="31"/>
  <c r="M5" i="31"/>
  <c r="N5" i="31"/>
  <c r="O5" i="31"/>
  <c r="P5" i="31"/>
  <c r="Q5" i="31"/>
  <c r="R5" i="31"/>
  <c r="S5" i="31"/>
  <c r="T5" i="31"/>
  <c r="I5" i="31"/>
  <c r="L15" i="21"/>
  <c r="K15" i="21"/>
  <c r="A22" i="19"/>
  <c r="K22" i="19" s="1"/>
  <c r="N22" i="19" s="1"/>
  <c r="E22" i="19"/>
  <c r="D22" i="19"/>
  <c r="C22" i="19"/>
  <c r="B22" i="19"/>
  <c r="H21" i="26"/>
  <c r="H19" i="26"/>
  <c r="H18" i="26"/>
  <c r="H16" i="3"/>
  <c r="H28" i="2"/>
  <c r="H17" i="2"/>
  <c r="H12" i="2"/>
  <c r="H12" i="10"/>
  <c r="H8" i="10"/>
  <c r="H17" i="26"/>
  <c r="H14" i="26"/>
  <c r="H13" i="26"/>
  <c r="H10" i="26"/>
  <c r="H15" i="26"/>
  <c r="H11" i="26"/>
  <c r="H7" i="26"/>
  <c r="H5" i="26"/>
  <c r="H1" i="26"/>
  <c r="H11" i="10"/>
  <c r="H10" i="10"/>
  <c r="H9" i="10"/>
  <c r="H7" i="10"/>
  <c r="H5" i="10"/>
  <c r="H1" i="10"/>
  <c r="H14" i="3"/>
  <c r="H13" i="3"/>
  <c r="H12" i="3"/>
  <c r="H10" i="3"/>
  <c r="H5" i="3"/>
  <c r="H20" i="3"/>
  <c r="H15" i="3"/>
  <c r="H9" i="3"/>
  <c r="H7" i="3"/>
  <c r="H1" i="3"/>
  <c r="H25" i="2"/>
  <c r="H14" i="2"/>
  <c r="H9" i="2"/>
  <c r="H16" i="2"/>
  <c r="H11" i="2"/>
  <c r="H27" i="2"/>
  <c r="H7" i="2"/>
  <c r="H5" i="2"/>
  <c r="H1" i="2"/>
  <c r="H8" i="31"/>
  <c r="H9" i="31"/>
  <c r="H7" i="31"/>
  <c r="H5" i="31"/>
  <c r="H1" i="31"/>
  <c r="E20" i="21"/>
  <c r="L13" i="21" s="1"/>
  <c r="D20" i="21"/>
  <c r="K13" i="21" s="1"/>
  <c r="D7" i="33"/>
  <c r="C7" i="33"/>
  <c r="A21" i="19"/>
  <c r="K21" i="19" s="1"/>
  <c r="N21" i="19" s="1"/>
  <c r="A20" i="19"/>
  <c r="K20" i="19" s="1"/>
  <c r="N20" i="19" s="1"/>
  <c r="A19" i="19"/>
  <c r="A18" i="19"/>
  <c r="K18" i="19" s="1"/>
  <c r="N18" i="19" s="1"/>
  <c r="A25" i="19"/>
  <c r="K25" i="19" s="1"/>
  <c r="N25" i="19" s="1"/>
  <c r="A24" i="19"/>
  <c r="K24" i="19" s="1"/>
  <c r="N24" i="19" s="1"/>
  <c r="A17" i="19"/>
  <c r="K17" i="19" s="1"/>
  <c r="N17" i="19" s="1"/>
  <c r="A16" i="19"/>
  <c r="K16" i="19" s="1"/>
  <c r="N16" i="19" s="1"/>
  <c r="A15" i="19"/>
  <c r="K15" i="19" s="1"/>
  <c r="N15" i="19" s="1"/>
  <c r="A11" i="19"/>
  <c r="K11" i="19" s="1"/>
  <c r="N11" i="19" s="1"/>
  <c r="A9" i="19"/>
  <c r="K9" i="19" s="1"/>
  <c r="N9" i="19" s="1"/>
  <c r="A8" i="19"/>
  <c r="K8" i="19" s="1"/>
  <c r="N8" i="19" s="1"/>
  <c r="A7" i="19"/>
  <c r="K7" i="19" s="1"/>
  <c r="N7" i="19" s="1"/>
  <c r="A6" i="19"/>
  <c r="K6" i="19" s="1"/>
  <c r="N6" i="19" s="1"/>
  <c r="A4" i="19"/>
  <c r="K4" i="19" s="1"/>
  <c r="N4" i="19" s="1"/>
  <c r="A3" i="19"/>
  <c r="G20" i="21"/>
  <c r="G22" i="21"/>
  <c r="G23" i="21"/>
  <c r="G21" i="21"/>
  <c r="F19" i="21"/>
  <c r="G19" i="21"/>
  <c r="F22" i="21"/>
  <c r="F23" i="21"/>
  <c r="F21" i="21"/>
  <c r="F20" i="21"/>
  <c r="B3" i="19"/>
  <c r="C3" i="19"/>
  <c r="D3" i="19"/>
  <c r="E3" i="19"/>
  <c r="B4" i="19"/>
  <c r="C4" i="19"/>
  <c r="D4" i="19"/>
  <c r="E4" i="19"/>
  <c r="B6" i="19"/>
  <c r="C6" i="19"/>
  <c r="D6" i="19"/>
  <c r="E6" i="19"/>
  <c r="B7" i="19"/>
  <c r="C7" i="19"/>
  <c r="D7" i="19"/>
  <c r="E7" i="19"/>
  <c r="B8" i="19"/>
  <c r="C8" i="19"/>
  <c r="D8" i="19"/>
  <c r="E8" i="19"/>
  <c r="B9" i="19"/>
  <c r="C9" i="19"/>
  <c r="D9" i="19"/>
  <c r="E9" i="19"/>
  <c r="B11" i="19"/>
  <c r="C11" i="19"/>
  <c r="D11" i="19"/>
  <c r="E11" i="19"/>
  <c r="B15" i="19"/>
  <c r="C15" i="19"/>
  <c r="D15" i="19"/>
  <c r="E15" i="19"/>
  <c r="B16" i="19"/>
  <c r="C16" i="19"/>
  <c r="D16" i="19"/>
  <c r="E16" i="19"/>
  <c r="B17" i="19"/>
  <c r="C17" i="19"/>
  <c r="D17" i="19"/>
  <c r="E17" i="19"/>
  <c r="B24" i="19"/>
  <c r="C24" i="19"/>
  <c r="D24" i="19"/>
  <c r="E24" i="19"/>
  <c r="B25" i="19"/>
  <c r="C25" i="19"/>
  <c r="D25" i="19"/>
  <c r="E25" i="19"/>
  <c r="B18" i="19"/>
  <c r="C18" i="19"/>
  <c r="D18" i="19"/>
  <c r="E18" i="19"/>
  <c r="B19" i="19"/>
  <c r="C19" i="19"/>
  <c r="D19" i="19"/>
  <c r="E19" i="19"/>
  <c r="B20" i="19"/>
  <c r="C20" i="19"/>
  <c r="D20" i="19"/>
  <c r="E20" i="19"/>
  <c r="B21" i="19"/>
  <c r="C21" i="19"/>
  <c r="D21" i="19"/>
  <c r="E21" i="19"/>
  <c r="J5" i="2" l="1"/>
  <c r="I9" i="2"/>
  <c r="N9" i="2"/>
  <c r="N5" i="2" s="1"/>
  <c r="T5" i="2"/>
  <c r="O9" i="2"/>
  <c r="O5" i="2" s="1"/>
  <c r="P5" i="2"/>
  <c r="S9" i="2"/>
  <c r="S5" i="2" s="1"/>
  <c r="I5" i="2"/>
  <c r="M9" i="2"/>
  <c r="M5" i="2" s="1"/>
  <c r="D24" i="21"/>
  <c r="E24" i="21"/>
</calcChain>
</file>

<file path=xl/comments1.xml><?xml version="1.0" encoding="utf-8"?>
<comments xmlns="http://schemas.openxmlformats.org/spreadsheetml/2006/main">
  <authors>
    <author>Ted Hills</author>
    <author>Hills, Ted (LNG-RDU)</author>
    <author>Nancy &amp; Ian Koenig</author>
    <author>Ian Koenig</author>
  </authors>
  <commentList>
    <comment ref="D7" authorId="0" shapeId="0">
      <text>
        <r>
          <rPr>
            <sz val="9"/>
            <color indexed="81"/>
            <rFont val="Tahoma"/>
            <family val="2"/>
          </rPr>
          <t>Briefly summarize the assessment of the asset including the recommendation for either release, reinvestment, or monitoring.  It should be business risk based, not emotional.</t>
        </r>
      </text>
    </comment>
    <comment ref="D8" authorId="0" shapeId="0">
      <text>
        <r>
          <rPr>
            <sz val="9"/>
            <color indexed="81"/>
            <rFont val="Tahoma"/>
            <family val="2"/>
          </rPr>
          <t>Briefly describe significant changes since last review of this asset. Include links to related documents that describe changes in more detail.</t>
        </r>
      </text>
    </comment>
    <comment ref="A12" authorId="0" shapeId="0">
      <text>
        <r>
          <rPr>
            <b/>
            <sz val="9"/>
            <color indexed="81"/>
            <rFont val="Tahoma"/>
            <family val="2"/>
          </rPr>
          <t>1. Compliant Data</t>
        </r>
      </text>
    </comment>
    <comment ref="D12" authorId="0" shapeId="0">
      <text>
        <r>
          <rPr>
            <sz val="9"/>
            <color indexed="81"/>
            <rFont val="Tahoma"/>
            <family val="2"/>
          </rPr>
          <t>Identify key recommended actions here.</t>
        </r>
      </text>
    </comment>
    <comment ref="G12" authorId="1" shapeId="0">
      <text>
        <r>
          <rPr>
            <sz val="9"/>
            <color indexed="81"/>
            <rFont val="Tahoma"/>
            <family val="2"/>
          </rPr>
          <t>Describe rationale for this risk value here.</t>
        </r>
      </text>
    </comment>
    <comment ref="A13" authorId="0" shapeId="0">
      <text>
        <r>
          <rPr>
            <b/>
            <sz val="9"/>
            <color indexed="81"/>
            <rFont val="Tahoma"/>
            <family val="2"/>
          </rPr>
          <t>2. Reliable Data
3. Master Data</t>
        </r>
      </text>
    </comment>
    <comment ref="D13" authorId="0" shapeId="0">
      <text>
        <r>
          <rPr>
            <sz val="9"/>
            <color indexed="81"/>
            <rFont val="Tahoma"/>
            <family val="2"/>
          </rPr>
          <t>Identify key recommended actions here.</t>
        </r>
      </text>
    </comment>
    <comment ref="G13" authorId="1" shapeId="0">
      <text>
        <r>
          <rPr>
            <sz val="9"/>
            <color indexed="81"/>
            <rFont val="Tahoma"/>
            <family val="2"/>
          </rPr>
          <t>Describe rationale for this risk value here.</t>
        </r>
      </text>
    </comment>
    <comment ref="A14" authorId="0" shapeId="0">
      <text>
        <r>
          <rPr>
            <b/>
            <sz val="9"/>
            <color indexed="81"/>
            <rFont val="Tahoma"/>
            <family val="2"/>
          </rPr>
          <t>4. Flexible Data</t>
        </r>
      </text>
    </comment>
    <comment ref="D14" authorId="0" shapeId="0">
      <text>
        <r>
          <rPr>
            <sz val="9"/>
            <color indexed="81"/>
            <rFont val="Tahoma"/>
            <family val="2"/>
          </rPr>
          <t>Identify key recommended actions here.</t>
        </r>
      </text>
    </comment>
    <comment ref="G14" authorId="1" shapeId="0">
      <text>
        <r>
          <rPr>
            <sz val="9"/>
            <color indexed="81"/>
            <rFont val="Tahoma"/>
            <family val="2"/>
          </rPr>
          <t>Describe rationale for this risk value here.</t>
        </r>
      </text>
    </comment>
    <comment ref="A15" authorId="0" shapeId="0">
      <text>
        <r>
          <rPr>
            <b/>
            <sz val="9"/>
            <color indexed="81"/>
            <rFont val="Tahoma"/>
            <family val="2"/>
          </rPr>
          <t>5. Global Data</t>
        </r>
      </text>
    </comment>
    <comment ref="D15" authorId="0" shapeId="0">
      <text>
        <r>
          <rPr>
            <sz val="9"/>
            <color indexed="81"/>
            <rFont val="Tahoma"/>
            <family val="2"/>
          </rPr>
          <t>Identify key recommended actions here.</t>
        </r>
      </text>
    </comment>
    <comment ref="G15" authorId="1" shapeId="0">
      <text>
        <r>
          <rPr>
            <sz val="9"/>
            <color indexed="81"/>
            <rFont val="Tahoma"/>
            <family val="2"/>
          </rPr>
          <t>Describe rationale for this risk value here.</t>
        </r>
      </text>
    </comment>
    <comment ref="M27" authorId="2" shapeId="0">
      <text>
        <r>
          <rPr>
            <b/>
            <sz val="9"/>
            <color indexed="81"/>
            <rFont val="Tahoma"/>
            <family val="2"/>
          </rPr>
          <t>Nancy &amp; Ian Koenig:</t>
        </r>
        <r>
          <rPr>
            <sz val="9"/>
            <color indexed="81"/>
            <rFont val="Tahoma"/>
            <family val="2"/>
          </rPr>
          <t xml:space="preserve">
These indicate the column in the rule sheets that define whether a rule is included in the profile
</t>
        </r>
      </text>
    </comment>
    <comment ref="N27" authorId="3" shapeId="0">
      <text>
        <r>
          <rPr>
            <b/>
            <sz val="9"/>
            <color indexed="81"/>
            <rFont val="Tahoma"/>
            <family val="2"/>
          </rPr>
          <t>Ian Koenig:</t>
        </r>
        <r>
          <rPr>
            <sz val="9"/>
            <color indexed="81"/>
            <rFont val="Tahoma"/>
            <family val="2"/>
          </rPr>
          <t xml:space="preserve">
Perm ID for the profile, whichmust be aligned with GLitz</t>
        </r>
      </text>
    </comment>
    <comment ref="M28" authorId="2" shapeId="0">
      <text>
        <r>
          <rPr>
            <b/>
            <sz val="9"/>
            <color indexed="81"/>
            <rFont val="Tahoma"/>
            <family val="2"/>
          </rPr>
          <t>Nancy &amp; Ian Koenig:</t>
        </r>
        <r>
          <rPr>
            <sz val="9"/>
            <color indexed="81"/>
            <rFont val="Tahoma"/>
            <family val="2"/>
          </rPr>
          <t xml:space="preserve">
These indicate the column in the rule sheets that define whether a rule is included in the profile
</t>
        </r>
      </text>
    </comment>
    <comment ref="N28" authorId="3" shapeId="0">
      <text>
        <r>
          <rPr>
            <b/>
            <sz val="9"/>
            <color indexed="81"/>
            <rFont val="Tahoma"/>
            <family val="2"/>
          </rPr>
          <t>Ian Koenig:</t>
        </r>
        <r>
          <rPr>
            <sz val="9"/>
            <color indexed="81"/>
            <rFont val="Tahoma"/>
            <family val="2"/>
          </rPr>
          <t xml:space="preserve">
Perm ID for the profile, whichmust be aligned with GLitz</t>
        </r>
      </text>
    </comment>
  </commentList>
</comments>
</file>

<file path=xl/comments2.xml><?xml version="1.0" encoding="utf-8"?>
<comments xmlns="http://schemas.openxmlformats.org/spreadsheetml/2006/main">
  <authors>
    <author>Nancy &amp; Ian Koenig</author>
  </authors>
  <commentList>
    <comment ref="C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 ref="E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 ref="G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List>
</comments>
</file>

<file path=xl/sharedStrings.xml><?xml version="1.0" encoding="utf-8"?>
<sst xmlns="http://schemas.openxmlformats.org/spreadsheetml/2006/main" count="2387" uniqueCount="714">
  <si>
    <t>7.1.1</t>
  </si>
  <si>
    <t>7.1.2</t>
  </si>
  <si>
    <t>7.2.1</t>
  </si>
  <si>
    <t>7.3.1</t>
  </si>
  <si>
    <t>5.1.1</t>
  </si>
  <si>
    <t>5.1.2</t>
  </si>
  <si>
    <t>5.2.1</t>
  </si>
  <si>
    <t>5.2.2</t>
  </si>
  <si>
    <t>Exceptions</t>
  </si>
  <si>
    <t>Permanent Waivers</t>
  </si>
  <si>
    <t>Instructions for Domain Architect</t>
  </si>
  <si>
    <t>LexisNexis Architecture Governance - Summary Score By Principle</t>
  </si>
  <si>
    <t>Comply (Y/N/E)</t>
  </si>
  <si>
    <t>Explanation</t>
  </si>
  <si>
    <t>Review Date</t>
  </si>
  <si>
    <t xml:space="preserve"> Assessment</t>
  </si>
  <si>
    <t>By:</t>
  </si>
  <si>
    <t>LexisNexis Architecture Governance</t>
  </si>
  <si>
    <t xml:space="preserve">The reference number to the Golden rule </t>
  </si>
  <si>
    <t>S</t>
  </si>
  <si>
    <t>EA Summary Comments</t>
  </si>
  <si>
    <t>Score</t>
  </si>
  <si>
    <t>Summary Assessment</t>
  </si>
  <si>
    <t>Rule</t>
  </si>
  <si>
    <t>Explanation (if "no")</t>
  </si>
  <si>
    <t>Comply:</t>
  </si>
  <si>
    <t>4.2.1</t>
  </si>
  <si>
    <t>3.2.1</t>
  </si>
  <si>
    <t>Yes</t>
  </si>
  <si>
    <t>N/A</t>
  </si>
  <si>
    <t>Comply (Y/N)</t>
  </si>
  <si>
    <t>Type</t>
  </si>
  <si>
    <t>Ref</t>
  </si>
  <si>
    <t>M</t>
  </si>
  <si>
    <t>1.1.1</t>
  </si>
  <si>
    <t>2.1.1</t>
  </si>
  <si>
    <t>4.1.1</t>
  </si>
  <si>
    <t>3.1.1</t>
  </si>
  <si>
    <t>3.1.2</t>
  </si>
  <si>
    <t>Explanation (if "No")</t>
  </si>
  <si>
    <t>Scorecard</t>
  </si>
  <si>
    <t>Revision:</t>
  </si>
  <si>
    <t>Created:</t>
  </si>
  <si>
    <t>Updated</t>
  </si>
  <si>
    <t>Type:</t>
  </si>
  <si>
    <r>
      <t>M</t>
    </r>
    <r>
      <rPr>
        <sz val="10"/>
        <rFont val="Arial"/>
        <family val="2"/>
      </rPr>
      <t xml:space="preserve"> is for MUST or MUST NOT rules </t>
    </r>
    <r>
      <rPr>
        <b/>
        <sz val="10"/>
        <rFont val="Arial"/>
        <family val="2"/>
      </rPr>
      <t>S</t>
    </r>
    <r>
      <rPr>
        <sz val="10"/>
        <rFont val="Arial"/>
        <family val="2"/>
      </rPr>
      <t xml:space="preserve"> is for SHOULD and SHOULD NOT rules</t>
    </r>
  </si>
  <si>
    <t>Ref:</t>
  </si>
  <si>
    <t>A short description of the rule.</t>
  </si>
  <si>
    <t>The compliance status for the rule.</t>
  </si>
  <si>
    <t>3.4.1</t>
  </si>
  <si>
    <t>Global</t>
  </si>
  <si>
    <t>6.1.1</t>
  </si>
  <si>
    <t>6.1.2</t>
  </si>
  <si>
    <t>6.2.1</t>
  </si>
  <si>
    <t>5.1.4</t>
  </si>
  <si>
    <t>Version</t>
  </si>
  <si>
    <t>Date</t>
  </si>
  <si>
    <t>Comments</t>
  </si>
  <si>
    <t>Author</t>
  </si>
  <si>
    <t xml:space="preserve"> </t>
  </si>
  <si>
    <t>x</t>
  </si>
  <si>
    <t>4.3.1</t>
  </si>
  <si>
    <t>4.3.2</t>
  </si>
  <si>
    <t>3.1.3</t>
  </si>
  <si>
    <t>3.1.4</t>
  </si>
  <si>
    <t>Instructions for Enterprise Architect</t>
  </si>
  <si>
    <r>
      <t xml:space="preserve">Complete the </t>
    </r>
    <r>
      <rPr>
        <b/>
        <sz val="10"/>
        <rFont val="Arial"/>
        <family val="2"/>
      </rPr>
      <t>Scorecard</t>
    </r>
    <r>
      <rPr>
        <sz val="10"/>
        <rFont val="Arial"/>
        <family val="2"/>
      </rPr>
      <t xml:space="preserve"> worksheet as follows:</t>
    </r>
  </si>
  <si>
    <t>5.1</t>
  </si>
  <si>
    <t>5.5</t>
  </si>
  <si>
    <t>7.2.2</t>
  </si>
  <si>
    <t>2.2.1</t>
  </si>
  <si>
    <t>2.3.1</t>
  </si>
  <si>
    <t>5.4.1</t>
  </si>
  <si>
    <t>4.4.1</t>
  </si>
  <si>
    <t>5.1.3</t>
  </si>
  <si>
    <t>Temporary Waivers</t>
  </si>
  <si>
    <t>min</t>
  </si>
  <si>
    <t>max</t>
  </si>
  <si>
    <t>Principle</t>
  </si>
  <si>
    <t>Comment</t>
  </si>
  <si>
    <t>Exception Count</t>
  </si>
  <si>
    <t>Permanent Waiver Count</t>
  </si>
  <si>
    <t>Temporary Waiver Count</t>
  </si>
  <si>
    <t>7.1</t>
  </si>
  <si>
    <t xml:space="preserve">Provide brief description of the asset in this field </t>
  </si>
  <si>
    <t>What Changed since last review ?</t>
  </si>
  <si>
    <t>Reference</t>
  </si>
  <si>
    <t>URL</t>
  </si>
  <si>
    <t>Link</t>
  </si>
  <si>
    <t>References</t>
  </si>
  <si>
    <t>Document or Web Page Reference</t>
  </si>
  <si>
    <t>Debt (Effort)</t>
  </si>
  <si>
    <t>Low</t>
  </si>
  <si>
    <t>Medium</t>
  </si>
  <si>
    <t>High</t>
  </si>
  <si>
    <t>Actions</t>
  </si>
  <si>
    <t xml:space="preserve">Safe </t>
  </si>
  <si>
    <t>Objective</t>
  </si>
  <si>
    <t>Pre</t>
  </si>
  <si>
    <t>Post</t>
  </si>
  <si>
    <t>Risk Level</t>
  </si>
  <si>
    <t>I</t>
  </si>
  <si>
    <t>K</t>
  </si>
  <si>
    <t xml:space="preserve"> Scorecard Profiles (Select all that apply)</t>
  </si>
  <si>
    <t>PRE</t>
  </si>
  <si>
    <t>Asset Name</t>
  </si>
  <si>
    <t>Asset ID</t>
  </si>
  <si>
    <t>Decommission Cost</t>
  </si>
  <si>
    <t>Issue Description</t>
  </si>
  <si>
    <t>Principle Nbr.</t>
  </si>
  <si>
    <t>Golden Rule Debt (SM)</t>
  </si>
  <si>
    <t>Monthly OpEx</t>
  </si>
  <si>
    <t>Scorecard Tab</t>
  </si>
  <si>
    <t>1.a</t>
  </si>
  <si>
    <t>1.b</t>
  </si>
  <si>
    <t>1.c</t>
  </si>
  <si>
    <t>3.a</t>
  </si>
  <si>
    <t>3.b</t>
  </si>
  <si>
    <t>3.c</t>
  </si>
  <si>
    <t xml:space="preserve">Debt  Capture Tab </t>
  </si>
  <si>
    <t>4.a</t>
  </si>
  <si>
    <t>4.b</t>
  </si>
  <si>
    <t>4.c</t>
  </si>
  <si>
    <t>4.d</t>
  </si>
  <si>
    <t>Assign an overall score for this asset in the Score column of row 6, using the same selection options described under step 1 above.</t>
  </si>
  <si>
    <t>3.d</t>
  </si>
  <si>
    <t>3.e</t>
  </si>
  <si>
    <t xml:space="preserve"> Business Objectives</t>
  </si>
  <si>
    <t>When filling out the Infrastructure debt, please follow these guidelines</t>
  </si>
  <si>
    <t>Deviation Cost</t>
  </si>
  <si>
    <t>User Migration cost</t>
  </si>
  <si>
    <t>Number of Staff Months (min/max) that will be required to unwind the tactical solution, shut it down (if necessary), build it strategically and migrate to the strategic solution</t>
  </si>
  <si>
    <t>If eliminating the tactical solution involves an impact on the end user, the number of staff months (min/max) required to manage the user migration from the tactical solution to the strategic solution</t>
  </si>
  <si>
    <t>One Time Cost</t>
  </si>
  <si>
    <t>The one time dollar cost of implementing the tactical solution (e.g. purchasing hardware)</t>
  </si>
  <si>
    <t>5.3.1</t>
  </si>
  <si>
    <t>Golden Rule Debt (by Principle)</t>
  </si>
  <si>
    <t>Sue Domain</t>
  </si>
  <si>
    <t>Joe Enterprise</t>
  </si>
  <si>
    <t>Profile Name</t>
  </si>
  <si>
    <t>Profile Description</t>
  </si>
  <si>
    <t>Profile On</t>
  </si>
  <si>
    <t>Debt Summary</t>
  </si>
  <si>
    <t>Mappng Sheet used to Initialize from Older Versions (Do Not edit unless you know what you are doing)</t>
  </si>
  <si>
    <t>DomainArchitectName</t>
  </si>
  <si>
    <t>EnterpriseArchitectId</t>
  </si>
  <si>
    <t>EnterpriseArchitectName</t>
  </si>
  <si>
    <t>DateOfReview</t>
  </si>
  <si>
    <t>DomainArchitectId</t>
  </si>
  <si>
    <t>ScoringPhase</t>
  </si>
  <si>
    <t>SummaryComments</t>
  </si>
  <si>
    <t>SummaryOfChanges</t>
  </si>
  <si>
    <t>SummaryScore</t>
  </si>
  <si>
    <t>A6</t>
  </si>
  <si>
    <t>C6</t>
  </si>
  <si>
    <t>D6</t>
  </si>
  <si>
    <t>F3</t>
  </si>
  <si>
    <t>B3</t>
  </si>
  <si>
    <t>D7</t>
  </si>
  <si>
    <t>D8</t>
  </si>
  <si>
    <t>F6</t>
  </si>
  <si>
    <t>C12</t>
  </si>
  <si>
    <t>D12</t>
  </si>
  <si>
    <t>H12</t>
  </si>
  <si>
    <t>C13</t>
  </si>
  <si>
    <t>D13</t>
  </si>
  <si>
    <t>H13</t>
  </si>
  <si>
    <t>C11</t>
  </si>
  <si>
    <t>D11</t>
  </si>
  <si>
    <t>H11</t>
  </si>
  <si>
    <t>C14</t>
  </si>
  <si>
    <t>D14</t>
  </si>
  <si>
    <t>H14</t>
  </si>
  <si>
    <t>L3</t>
  </si>
  <si>
    <t>Generate the JSON Extract to upload to Glitz</t>
  </si>
  <si>
    <t>5.a</t>
  </si>
  <si>
    <t>3</t>
  </si>
  <si>
    <t>3.1</t>
  </si>
  <si>
    <t>3.2</t>
  </si>
  <si>
    <t>3.4</t>
  </si>
  <si>
    <t>4</t>
  </si>
  <si>
    <t>4.1</t>
  </si>
  <si>
    <t>4.2</t>
  </si>
  <si>
    <t>4.4</t>
  </si>
  <si>
    <t>6</t>
  </si>
  <si>
    <t>4.2.2</t>
  </si>
  <si>
    <t>4.2.3</t>
  </si>
  <si>
    <t>5.5.1</t>
  </si>
  <si>
    <t>5.5.2</t>
  </si>
  <si>
    <t>6.2</t>
  </si>
  <si>
    <t>7</t>
  </si>
  <si>
    <t>7.2</t>
  </si>
  <si>
    <t>7.3</t>
  </si>
  <si>
    <t>Safe_Risk_X</t>
  </si>
  <si>
    <t>Safe_Action_X</t>
  </si>
  <si>
    <t>Safe_Comment_X</t>
  </si>
  <si>
    <t>Operable_Risk_X</t>
  </si>
  <si>
    <t>Operable_Action_X</t>
  </si>
  <si>
    <t>Operable_Comment_X</t>
  </si>
  <si>
    <t>Sustainable_Risk_X</t>
  </si>
  <si>
    <t>Sustainable_Action_X</t>
  </si>
  <si>
    <t>Sustainable_Comment_X</t>
  </si>
  <si>
    <t>Global_Risk_X</t>
  </si>
  <si>
    <t>Global_Action_X</t>
  </si>
  <si>
    <t>Global_Comment_X</t>
  </si>
  <si>
    <t>Each Rule Tab contains the following Columns:</t>
  </si>
  <si>
    <t>Domain 
Architect Emp ID</t>
  </si>
  <si>
    <t>Domain Architect Name</t>
  </si>
  <si>
    <t>Enterprise Architect Emp ID</t>
  </si>
  <si>
    <t>Enterprise Architect Name</t>
  </si>
  <si>
    <t>Level of Governance</t>
  </si>
  <si>
    <t>GovernanceLevel</t>
  </si>
  <si>
    <t xml:space="preserve">Golden Rule Debt Total: </t>
  </si>
  <si>
    <t>Principle Number</t>
  </si>
  <si>
    <t>Golden Rule Debt
 (Staff Months)</t>
  </si>
  <si>
    <t>Debt ID</t>
  </si>
  <si>
    <t>This line intentionally left blank</t>
  </si>
  <si>
    <t>Summary Tab</t>
  </si>
  <si>
    <t>Spell Check</t>
  </si>
  <si>
    <t>6.a</t>
  </si>
  <si>
    <t xml:space="preserve">The dollar cost (per month) of operating the tactical solution (that will be incurred until we shut it down in favor of a strategic solution).  If there is monthly maintenance and/or software licensing, it should be included here </t>
  </si>
  <si>
    <t xml:space="preserve">Excel does not do auto-spell check (like other office apps), so its probably a good idea to do this manually before publishing the scorecard.  To spell check a workbook, click the spelling button in the proofing group of the review tab.  This has to be done sheet by sheet. </t>
  </si>
  <si>
    <t>Scorecard Template Change History</t>
  </si>
  <si>
    <t>Golden Rule Debt</t>
  </si>
  <si>
    <t>Scorecard Template Version Information</t>
  </si>
  <si>
    <r>
      <t>Press the "</t>
    </r>
    <r>
      <rPr>
        <b/>
        <sz val="10"/>
        <rFont val="Arial"/>
        <family val="2"/>
      </rPr>
      <t xml:space="preserve">Generate JSON" </t>
    </r>
    <r>
      <rPr>
        <sz val="10"/>
        <rFont val="Arial"/>
        <family val="2"/>
      </rPr>
      <t xml:space="preserve">button (to the right) in order to generate the JSON file that will be uploaded to Glitz.  The file is placed in the same directory as this workbook.  </t>
    </r>
  </si>
  <si>
    <r>
      <t xml:space="preserve">Do not enter anything in the </t>
    </r>
    <r>
      <rPr>
        <b/>
        <sz val="10"/>
        <rFont val="Arial"/>
        <family val="2"/>
      </rPr>
      <t>Summary</t>
    </r>
    <r>
      <rPr>
        <sz val="10"/>
        <rFont val="Arial"/>
        <family val="2"/>
      </rPr>
      <t xml:space="preserve"> Tab.  It is automatically populated when the Golden Rule tabs are filled in.</t>
    </r>
  </si>
  <si>
    <t>Press the "Update Scorecard" button to regenerate the Scorecard Tab.  This macro copies Temporary Waivers, Permanent Waivers, Exceptions, and the Debt Summary from indidual sheets to provide the summary on the scorecard sheet.   The "Update Scorecard" macro will also populate the waiver / exception counts located in the "Assessment" section of the Scorecard tab.</t>
  </si>
  <si>
    <r>
      <t xml:space="preserve">Provide a textual summary assessment for this asset in the </t>
    </r>
    <r>
      <rPr>
        <b/>
        <sz val="10"/>
        <rFont val="Arial"/>
        <family val="2"/>
      </rPr>
      <t>Summary Assessment</t>
    </r>
    <r>
      <rPr>
        <sz val="10"/>
        <rFont val="Arial"/>
        <family val="2"/>
      </rPr>
      <t xml:space="preserve"> column of row 6.(green box)</t>
    </r>
  </si>
  <si>
    <r>
      <t xml:space="preserve">Verify that the Asset ID </t>
    </r>
    <r>
      <rPr>
        <b/>
        <sz val="10"/>
        <rFont val="Arial"/>
        <family val="2"/>
      </rPr>
      <t>exactly</t>
    </r>
    <r>
      <rPr>
        <sz val="10"/>
        <rFont val="Arial"/>
        <family val="2"/>
      </rPr>
      <t xml:space="preserve"> matches the Asset ID in Glitz.  Verify the Domain Architect's ID matches their Employee ID in Active Directory (by looking them up in Outlook)</t>
    </r>
  </si>
  <si>
    <t>Enter your Employee ID and name (in appropriate boxes)</t>
  </si>
  <si>
    <t>Valid Values for Type (Column C)</t>
  </si>
  <si>
    <t>ID</t>
  </si>
  <si>
    <t>String</t>
  </si>
  <si>
    <t>SystemAssetDescription</t>
  </si>
  <si>
    <t>SystemAssetId</t>
  </si>
  <si>
    <t>SystemAssetName</t>
  </si>
  <si>
    <t>SystemAssetVersion</t>
  </si>
  <si>
    <t>Ted Hills</t>
  </si>
  <si>
    <t>B6</t>
  </si>
  <si>
    <t>Min (SM)</t>
  </si>
  <si>
    <t>Max (SM)</t>
  </si>
  <si>
    <t>Debt (Effort) in Staff Months</t>
  </si>
  <si>
    <r>
      <t>(</t>
    </r>
    <r>
      <rPr>
        <b/>
        <sz val="10"/>
        <rFont val="Arial"/>
        <family val="2"/>
      </rPr>
      <t>Low)</t>
    </r>
    <r>
      <rPr>
        <sz val="10"/>
        <rFont val="Arial"/>
        <family val="2"/>
      </rPr>
      <t xml:space="preserve"> This value means that the asset in question generates very little risk to the company from an architectural compliance perspective</t>
    </r>
  </si>
  <si>
    <r>
      <t>(</t>
    </r>
    <r>
      <rPr>
        <b/>
        <sz val="10"/>
        <rFont val="Arial"/>
        <family val="2"/>
      </rPr>
      <t>Medium</t>
    </r>
    <r>
      <rPr>
        <sz val="10"/>
        <rFont val="Arial"/>
        <family val="2"/>
      </rPr>
      <t>) This value means that the asset in question generates a moderate amount of risk to the company from an architectural compliance perspective.</t>
    </r>
  </si>
  <si>
    <r>
      <t>(</t>
    </r>
    <r>
      <rPr>
        <b/>
        <sz val="10"/>
        <rFont val="Arial"/>
        <family val="2"/>
      </rPr>
      <t>High</t>
    </r>
    <r>
      <rPr>
        <sz val="10"/>
        <rFont val="Arial"/>
        <family val="2"/>
      </rPr>
      <t>) This value means that the asset in question generates a moderate amount of risk to the company from an architectural compliance perspective.</t>
    </r>
  </si>
  <si>
    <t>4.2.4</t>
  </si>
  <si>
    <t>4.2.5</t>
  </si>
  <si>
    <t>Number of Staff Months (min/max) involved in building the tactical solution that is exhibiting debt (essentially throw away)</t>
  </si>
  <si>
    <r>
      <t xml:space="preserve">Two debt rows are included in the empty scorecard.  When you need to add more rows, press the "Add another row" button. If you want to remove a debt item, </t>
    </r>
    <r>
      <rPr>
        <b/>
        <sz val="10"/>
        <rFont val="Arial"/>
        <family val="2"/>
      </rPr>
      <t>do not delete rows</t>
    </r>
    <r>
      <rPr>
        <sz val="10"/>
        <rFont val="Arial"/>
        <family val="2"/>
      </rPr>
      <t>, as this messes up Excel's formulas. Instead, simply clear the cells.</t>
    </r>
  </si>
  <si>
    <r>
      <t xml:space="preserve">This tab is used to track Golden Rule and Infrastructure debt and to provide traceability back to rule exceptions in the scorecard.   Each issue is classified as either golden rule debt or infrastructure debt (see 4.b), although it is possible for a single issue that imply both golden rule debt and infrastructure debt.  Debt is estimated using a range (minimum, maximum).   </t>
    </r>
    <r>
      <rPr>
        <b/>
        <sz val="10"/>
        <rFont val="Arial"/>
        <family val="2"/>
      </rPr>
      <t>Note: Any issue that can be traced directly to a MUST rule violation MUST be classified as golden rule debt and the primary principle number for the rule must be entered. Infrastructure debt must always be subordinate to a golden rule debt item, but there are no Debt IDs for tracking infrastructure debt items back to golden rule debt items.</t>
    </r>
    <r>
      <rPr>
        <sz val="10"/>
        <rFont val="Arial"/>
        <family val="2"/>
      </rPr>
      <t xml:space="preserve"> No debt should be calculated for SHOULD rule violations or P-WVRs. Debt should be calculated for T-WVRs and for rule violations.</t>
    </r>
  </si>
  <si>
    <r>
      <t xml:space="preserve">A golden rule debt item MUST be related to one or more rule exceptions. A rule violation must be related to one or more golden rule debt items. Even though a golden rule debt item might be related to rule exceptions under more than one principle, </t>
    </r>
    <r>
      <rPr>
        <b/>
        <sz val="10"/>
        <rFont val="Arial"/>
        <family val="2"/>
      </rPr>
      <t>only one principle</t>
    </r>
    <r>
      <rPr>
        <sz val="10"/>
        <rFont val="Arial"/>
        <family val="2"/>
      </rPr>
      <t xml:space="preserve"> may be listed per golden rule.</t>
    </r>
  </si>
  <si>
    <t>2.9</t>
  </si>
  <si>
    <t>2.0</t>
  </si>
  <si>
    <t>Brand new scorecard; created by copying Scorecard.xlsm for System/Software/Service assets</t>
  </si>
  <si>
    <t>2.1</t>
  </si>
  <si>
    <t>Fix up references, names used in formulas, formats</t>
  </si>
  <si>
    <t>2.2</t>
  </si>
  <si>
    <t>Released</t>
  </si>
  <si>
    <t>2.3</t>
  </si>
  <si>
    <t>changes during review with DAs</t>
  </si>
  <si>
    <t>2.5</t>
  </si>
  <si>
    <t>fixed formulas on Debt Capture tab; updated instructions and some questions based on reviews with Laurel Shifrin and DAs</t>
  </si>
  <si>
    <t>2.6</t>
  </si>
  <si>
    <t>updates based on 3 months' usage</t>
  </si>
  <si>
    <t>2.7</t>
  </si>
  <si>
    <t>additional copy editing with Laurel Shifrin and Marc Basch</t>
  </si>
  <si>
    <t>2.8</t>
  </si>
  <si>
    <t>nuancing rule 5.1.6 on traceability, incorporating feedback from Marc Basch</t>
  </si>
  <si>
    <t>in sync with Golden Rules for Data 2.0 rev. 2.9</t>
  </si>
  <si>
    <t>2.9.1</t>
  </si>
  <si>
    <t>fix Summary tab to reflect rule additions and deletions</t>
  </si>
  <si>
    <t>2.9.2</t>
  </si>
  <si>
    <t>Named ranges RiskValues and DebtCaptureRules contained references to external spreadsheets; corrected these.</t>
  </si>
  <si>
    <t>2.9.3</t>
  </si>
  <si>
    <t>content state?</t>
  </si>
  <si>
    <t>modernization planned?</t>
  </si>
  <si>
    <t>knowledge resource asset</t>
  </si>
  <si>
    <t>entity master asset</t>
  </si>
  <si>
    <t>business data asset</t>
  </si>
  <si>
    <t>relationship asset</t>
  </si>
  <si>
    <t>a collection of related artifacts used to define, classify, and provide access points to content</t>
  </si>
  <si>
    <t>a collection of information about real-world entities tracked by LexisNexis</t>
  </si>
  <si>
    <t>a collection of primarily structured data used to operate the business</t>
  </si>
  <si>
    <t>a purposed copy of relationships between entities that are harvested from other masters</t>
  </si>
  <si>
    <t>LexisNexis Data Asset Architecture Governance Scorecard</t>
  </si>
  <si>
    <t>Data Asset:</t>
  </si>
  <si>
    <t>Data Asset Version</t>
  </si>
  <si>
    <t>PRF:14</t>
  </si>
  <si>
    <t>PRF:15</t>
  </si>
  <si>
    <t>PRF:16</t>
  </si>
  <si>
    <t>PRF:17</t>
  </si>
  <si>
    <t>Master Data</t>
  </si>
  <si>
    <t>Information Value Classification Instructions</t>
  </si>
  <si>
    <t>SR:617</t>
  </si>
  <si>
    <t>P:13</t>
  </si>
  <si>
    <t>GR:103</t>
  </si>
  <si>
    <t>SR:618</t>
  </si>
  <si>
    <t>SR:619</t>
  </si>
  <si>
    <t>SR:620</t>
  </si>
  <si>
    <t>3.2.3</t>
  </si>
  <si>
    <t>3.4.2</t>
  </si>
  <si>
    <t>3.2.2</t>
  </si>
  <si>
    <t>3.6.2</t>
  </si>
  <si>
    <t>P:14</t>
  </si>
  <si>
    <t>GR:106</t>
  </si>
  <si>
    <t>SR:621</t>
  </si>
  <si>
    <t>GR:107</t>
  </si>
  <si>
    <t>SR:624</t>
  </si>
  <si>
    <t>SR:625</t>
  </si>
  <si>
    <t>SR:626</t>
  </si>
  <si>
    <t>GR:109</t>
  </si>
  <si>
    <t>SR:628</t>
  </si>
  <si>
    <t>GR:111</t>
  </si>
  <si>
    <t>SR:635</t>
  </si>
  <si>
    <t>Operational data quality processes must include measurements of: timeliness, completeness, and accuracy of data; and turnaround time on problem resolution.</t>
  </si>
  <si>
    <t>Trending of quality metrics over time must be supported.</t>
  </si>
  <si>
    <t>In order to ensure that our data remains high quality and meets business requirements, the implementation of a data asset must follow its design.</t>
  </si>
  <si>
    <t>P:15</t>
  </si>
  <si>
    <t>GR:112</t>
  </si>
  <si>
    <t>SR:636</t>
  </si>
  <si>
    <t>SR:637</t>
  </si>
  <si>
    <t>GR:113</t>
  </si>
  <si>
    <t>SR:638</t>
  </si>
  <si>
    <t>SR:639</t>
  </si>
  <si>
    <t>SR:640</t>
  </si>
  <si>
    <t>SR:641</t>
  </si>
  <si>
    <t>SR:642</t>
  </si>
  <si>
    <t>SR:644</t>
  </si>
  <si>
    <t>Master Data - Mandatory Use</t>
  </si>
  <si>
    <t>Master data assets must be used.</t>
  </si>
  <si>
    <t>Master Data - Data Models</t>
  </si>
  <si>
    <t>Master data assets must be modeled.</t>
  </si>
  <si>
    <t>A master structured data asset must be described by a logical model.</t>
  </si>
  <si>
    <t>5.1.6</t>
  </si>
  <si>
    <t>GR:115</t>
  </si>
  <si>
    <t>SR:646</t>
  </si>
  <si>
    <t>SR:647</t>
  </si>
  <si>
    <t>SR:648</t>
  </si>
  <si>
    <t>SR:651</t>
  </si>
  <si>
    <t>SR:652</t>
  </si>
  <si>
    <t>SR:653</t>
  </si>
  <si>
    <t>GR:117</t>
  </si>
  <si>
    <t>SR:654</t>
  </si>
  <si>
    <t>SR:655</t>
  </si>
  <si>
    <t>GR:119</t>
  </si>
  <si>
    <t>SR:656</t>
  </si>
  <si>
    <t>SR:657</t>
  </si>
  <si>
    <t>6.2.2</t>
  </si>
  <si>
    <t>6.2.3</t>
  </si>
  <si>
    <t>6.2.4</t>
  </si>
  <si>
    <t>6.2.5</t>
  </si>
  <si>
    <t>6.2.6</t>
  </si>
  <si>
    <t>6.2.7</t>
  </si>
  <si>
    <t>P:17</t>
  </si>
  <si>
    <t>SR:658</t>
  </si>
  <si>
    <t>SR:659</t>
  </si>
  <si>
    <t>GR:121</t>
  </si>
  <si>
    <t>SR:661</t>
  </si>
  <si>
    <t>SR:662</t>
  </si>
  <si>
    <t>SR:663</t>
  </si>
  <si>
    <t>SR:664</t>
  </si>
  <si>
    <t>SR:665</t>
  </si>
  <si>
    <t>SR:666</t>
  </si>
  <si>
    <t>SR:667</t>
  </si>
  <si>
    <t>Text must be represented using UTF-8, UTF-16 or UTF-32 when persisted to a repository.</t>
  </si>
  <si>
    <t>Number-centric data -- time, date, currency, and other numbers -- must be stored in a globalized way.</t>
  </si>
  <si>
    <t>When money values are converted to different currencies, the original money representation must be preserved.</t>
  </si>
  <si>
    <t>7.3.2</t>
  </si>
  <si>
    <t>7.5.1</t>
  </si>
  <si>
    <t>P:18</t>
  </si>
  <si>
    <t>GR:122</t>
  </si>
  <si>
    <t>SR:668</t>
  </si>
  <si>
    <t>SR:669</t>
  </si>
  <si>
    <t>GR:123</t>
  </si>
  <si>
    <t>SR:670</t>
  </si>
  <si>
    <t>SR:671</t>
  </si>
  <si>
    <t>GR:124</t>
  </si>
  <si>
    <t>SR:672</t>
  </si>
  <si>
    <t>SR:673</t>
  </si>
  <si>
    <t>GR:126</t>
  </si>
  <si>
    <t>SR:676</t>
  </si>
  <si>
    <t>Meaning and presentation must be kept separate in markup.</t>
  </si>
  <si>
    <t>Presentation markup must not be used to express semantics. (Some presentation markup (e.g., line breaks, emphasis) is needed to mimic the original presentation without communicating any semantics.)</t>
  </si>
  <si>
    <t>Conversely, semantic markup must not be used for any presentational characteristics typically associated with it when the content being marked up has a different semantic.</t>
  </si>
  <si>
    <t>Master content and product content must be able to evolve separately.</t>
  </si>
  <si>
    <t>The master and product schemas must be able to evolve independently.</t>
  </si>
  <si>
    <t>A content asset must be evaluated to determine the degree of fidelity to the original that must be preserved.</t>
  </si>
  <si>
    <t>Business Data Asset</t>
  </si>
  <si>
    <t>Entity Master Asset</t>
  </si>
  <si>
    <t>Knowledge Resource Asset</t>
  </si>
  <si>
    <t>Relationship Asset</t>
  </si>
  <si>
    <t>1.3.1</t>
  </si>
  <si>
    <t>2</t>
  </si>
  <si>
    <t>7.5</t>
  </si>
  <si>
    <t>3.6</t>
  </si>
  <si>
    <t>4.1.2</t>
  </si>
  <si>
    <t>5.3</t>
  </si>
  <si>
    <t>1.1</t>
  </si>
  <si>
    <t>• Macros, Instructions, Debt Capture tab, and formats copied from System Asset Scorecard template v15.0.4.
• PermIds added to the rules.</t>
  </si>
  <si>
    <t>2.9.4</t>
  </si>
  <si>
    <t>• Profile "Content Asset" blanked out for rules 4.2.3 (SR:640), 5.1.4 (SR:649)
• Cells on ScoreCard tab for entering content state and modernization planned unprotected.</t>
  </si>
  <si>
    <t xml:space="preserve">Technology Standard for the Representation of Currency </t>
  </si>
  <si>
    <t>Technology Standard for the Representation of Date and Time Values</t>
  </si>
  <si>
    <t>Technology Standard for the Representation of Time Zones</t>
  </si>
  <si>
    <t>Data must be in sync with its sources, including both current and historical data if historical data is kept in the data asset. This includes data that is derived from one or multiple sources.</t>
  </si>
  <si>
    <t>Compliant Data</t>
  </si>
  <si>
    <t>Compliant Data - Information Value Classification</t>
  </si>
  <si>
    <t>Global Data</t>
  </si>
  <si>
    <t>Global Data - Number-Centric Data Handling</t>
  </si>
  <si>
    <t>Flexible Data</t>
  </si>
  <si>
    <t>Flexible Data - Enrichment</t>
  </si>
  <si>
    <t>Flexible Data - Separate Presentation</t>
  </si>
  <si>
    <t>Flexible Data - Separate Product Content</t>
  </si>
  <si>
    <t>Flexible Data - Fidelity</t>
  </si>
  <si>
    <r>
      <rPr>
        <b/>
        <sz val="11"/>
        <color rgb="FF0033CC"/>
        <rFont val="Arial"/>
        <family val="2"/>
      </rPr>
      <t>DO NOT DELETE ROWS!</t>
    </r>
    <r>
      <rPr>
        <sz val="11"/>
        <color rgb="FF0033CC"/>
        <rFont val="Arial"/>
        <family val="2"/>
      </rPr>
      <t xml:space="preserve"> It messes with formulas.</t>
    </r>
  </si>
  <si>
    <t>If you no longer need a debt item, simply clear the cells.</t>
  </si>
  <si>
    <t>2.10.0</t>
  </si>
  <si>
    <t>• Gridlines on on all tabs
• Conditional formatting made consistent for all answer cells.
• Answers of "N/A" and "WVR" prohibited on Principles.
• JSON output now requires R, Y, or G answers to Principles.
• Default answer of "Domain architect comments" will no longer confuse validation macros.
• Review date defaults to blank.
• Answer cells formatted as text so Excel won't see formulas in them.
• Serialize to JSON macro truncates spreadsheet revision to major.minor.
• Wording improvements on many rules.</t>
  </si>
  <si>
    <t>Technology Standard for the Representation of Locales</t>
  </si>
  <si>
    <t>2.10.1</t>
  </si>
  <si>
    <t>• Bad links in References repaired.</t>
  </si>
  <si>
    <t>2.10.2</t>
  </si>
  <si>
    <t>• Wording of 3.5.2 fixed.</t>
  </si>
  <si>
    <t>BO:5</t>
  </si>
  <si>
    <t>BO:6</t>
  </si>
  <si>
    <t>BO:7</t>
  </si>
  <si>
    <t>BO:8</t>
  </si>
  <si>
    <t>2.10.3</t>
  </si>
  <si>
    <t>POST</t>
  </si>
  <si>
    <t>• Business Objective Perm IDs in column M of Scorecard tab were the old values from the System Asset Scorecard template. Updated to be the new values.
• Content modernization state and modernization planned cells on Scorecard tab were swapped; answers to the former changed to PRE and POST for compatibility with System Asset Scorecard template (where they have the same values but mean something different).
• Added macro function to map principle numbers from Debt Capture sheet to principle Perm IDs. (The System Asset Scorecard template was just lucky because they happened to be equal, but this didn't work for the Data Asset Scorecard template.)
• List mapping of principles to business objectives in comments and input instructions on the ScoreCard tab.
• Modified macro function ValidatePScore to take governance level into account.</t>
  </si>
  <si>
    <t>2.10.4</t>
  </si>
  <si>
    <t>• Fixed bug in InitFromPrev macro that was incorrectly comparing revision number.
• Inserted missing entries on Mapping tab for older scorecard template revisions 2.2 (missing entirely), 2.3, 2.5.</t>
  </si>
  <si>
    <t>2.10.5</t>
  </si>
  <si>
    <t>• Fixed bug in above fix.</t>
  </si>
  <si>
    <t>2.10.6</t>
  </si>
  <si>
    <t>• Removed "Domain architect comments" from answer cells.
• Updated reference 3b, Content Architecture XML Namespace Policies, to point to Namespace Standards for XML Content Schemas.</t>
  </si>
  <si>
    <r>
      <t xml:space="preserve">Fill in your information in the </t>
    </r>
    <r>
      <rPr>
        <b/>
        <sz val="10"/>
        <rFont val="Arial"/>
        <family val="2"/>
      </rPr>
      <t xml:space="preserve">Scorecard </t>
    </r>
    <r>
      <rPr>
        <sz val="10"/>
        <rFont val="Arial"/>
        <family val="2"/>
      </rPr>
      <t xml:space="preserve">tab (The light blue boxes) describing the asset being evaluated. </t>
    </r>
  </si>
  <si>
    <r>
      <t xml:space="preserve">Perform a rollup summarization of the individual entries subordinate to a given golden rule by selecting a value for the </t>
    </r>
    <r>
      <rPr>
        <b/>
        <sz val="10"/>
        <rFont val="Arial"/>
        <family val="2"/>
      </rPr>
      <t>Comply</t>
    </r>
    <r>
      <rPr>
        <sz val="10"/>
        <rFont val="Arial"/>
        <family val="2"/>
      </rPr>
      <t xml:space="preserve"> column and providing any summary comments that seem appropriate in the </t>
    </r>
    <r>
      <rPr>
        <b/>
        <sz val="10"/>
        <rFont val="Arial"/>
        <family val="2"/>
      </rPr>
      <t>Explanation</t>
    </r>
    <r>
      <rPr>
        <sz val="10"/>
        <rFont val="Arial"/>
        <family val="2"/>
      </rPr>
      <t xml:space="preserve"> column. </t>
    </r>
  </si>
  <si>
    <t>Perform an overall rollup summarization for each principle, using only the Green/Yellow/Red lights described under step 1 above, placing the score into Column E of Row 2 in the worksheet for that principle.</t>
  </si>
  <si>
    <r>
      <t xml:space="preserve">If this asset has already been scored, you may initialize the new scorecard from the old scorecard.  Press the "Initialize" Button to the right
and select the file to copy values from. After Initialization, depending on the version of the old scorecard some info still needs to be verified / entered by hand.  Please Check carefully.
</t>
    </r>
    <r>
      <rPr>
        <b/>
        <sz val="10"/>
        <color rgb="FFFF0000"/>
        <rFont val="Arial"/>
        <family val="2"/>
      </rPr>
      <t>The Change History has a bright red line. Scorecards in the older versions listed below this line will not completely initialize.</t>
    </r>
    <r>
      <rPr>
        <sz val="10"/>
        <rFont val="Arial"/>
        <family val="2"/>
      </rPr>
      <t xml:space="preserve">
</t>
    </r>
    <r>
      <rPr>
        <b/>
        <sz val="10"/>
        <rFont val="Arial"/>
        <family val="2"/>
      </rPr>
      <t>Profiles, Infrastructure Debt Capture, Asset Version, Global Questions, Employee IDs, and several other fields will not copy over from older versions</t>
    </r>
    <r>
      <rPr>
        <sz val="10"/>
        <rFont val="Arial"/>
        <family val="2"/>
      </rPr>
      <t xml:space="preserve">.  </t>
    </r>
    <r>
      <rPr>
        <sz val="10"/>
        <color rgb="FFFF0000"/>
        <rFont val="Arial"/>
        <family val="2"/>
      </rPr>
      <t>You will have to enter those manually.</t>
    </r>
  </si>
  <si>
    <t>NOTE BENE:  The Asset ID must exactly match what is in Glitz.</t>
  </si>
  <si>
    <t>Scorecard Profiles</t>
  </si>
  <si>
    <t>Governance Levels for Systems Assets</t>
  </si>
  <si>
    <t xml:space="preserve">Questions have been worded so that answering "Yes" requires no explanation.  If the answer is not "Yes", an explanation is required in the blue box (column F).  Explanations should be brief but sufficient.  If more space is required for the explanation, resize the row to fit the text.   In general, explanations should referr to an item on a diagram or a point covered during architecture review.   If it looks like you need to write an essay,  its probably best to update other documentation and refer to it rather than writing a dissertation. </t>
  </si>
  <si>
    <t>How to fill out a scorecard</t>
  </si>
  <si>
    <t>Each item of non-compliance to a mandatory ("MUST") rule implies some amount of Debt, unless a P-WVR is requested.  In the Debt ID column, enter a Debt ID that references an associated row on the Debt Capture tab. See below for more details.  A single Debt ID may be used multiple times, since a singe fix may satisfy the compliance of multiple rules.  If multiple Debt IDs are associated with this item, separate them with commas (i.e. x,y)</t>
  </si>
  <si>
    <r>
      <t xml:space="preserve">Update the Comply value column for each question. See the section </t>
    </r>
    <r>
      <rPr>
        <b/>
        <sz val="10"/>
        <rFont val="Arial"/>
        <family val="2"/>
      </rPr>
      <t>Answering Questions for Domain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</si>
  <si>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r>
      <t xml:space="preserve">Update the Comply value column for each question. See the section </t>
    </r>
    <r>
      <rPr>
        <b/>
        <sz val="10"/>
        <rFont val="Arial"/>
        <family val="2"/>
      </rPr>
      <t>Answering Questions for Enterprise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</si>
  <si>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r>
      <t xml:space="preserve">Define the </t>
    </r>
    <r>
      <rPr>
        <b/>
        <sz val="10"/>
        <rFont val="Arial"/>
        <family val="2"/>
      </rPr>
      <t>Level of Governance</t>
    </r>
    <r>
      <rPr>
        <sz val="10"/>
        <rFont val="Arial"/>
        <family val="2"/>
      </rPr>
      <t xml:space="preserve"> that the EA and DA agree will be applied in this assessment. Comments on the Objective cells in the ScoreCard tab list the principles included in that level. Higher-numbered levels include all of the principles listed in lower levels. See the Wiki page Governance Levels for Systems Assets for details.</t>
    </r>
  </si>
  <si>
    <t>Fill out the Business Objectives summary on the Scorecard tab as follows.</t>
  </si>
  <si>
    <r>
      <t xml:space="preserve">Select a </t>
    </r>
    <r>
      <rPr>
        <b/>
        <sz val="10"/>
        <rFont val="Arial"/>
        <family val="2"/>
      </rPr>
      <t>Risk Level</t>
    </r>
    <r>
      <rPr>
        <sz val="10"/>
        <rFont val="Arial"/>
        <family val="2"/>
      </rPr>
      <t xml:space="preserve"> for each of the four business objectives. (Comments on the Objective cells in the ScoreCard tab list the principles included in that level.)</t>
    </r>
  </si>
  <si>
    <t>In the Actions cell, provide a summary from the Principle rollups of the actions that need to be taken to reduce the risk to achieving the associated business objective.</t>
  </si>
  <si>
    <t>In the Commentary cell, provide the rationale for selecting the risk level associated with the business objective.</t>
  </si>
  <si>
    <t>Data Model Review Process</t>
  </si>
  <si>
    <t>Product content must be separate from master content, and must be able to evolve independently.</t>
  </si>
  <si>
    <t>2.11.0</t>
  </si>
  <si>
    <t>Data of a given type must be mastered in only one data asset.</t>
  </si>
  <si>
    <t>4.1.3</t>
  </si>
  <si>
    <r>
      <t xml:space="preserve">• Many instructions on the Instructions tab have been relocated to the GAR Wiki.
• Order of change history is reversed so that version and date can be picked up by formulas on Instructions tab.
• Improved macros imported from the System Asset scorecard v16.0.3.
• The "InitFromPrev" macro now has code to determine which scorecard versions are "modernized" for both system asset template and data asset template. </t>
    </r>
    <r>
      <rPr>
        <b/>
        <sz val="10"/>
        <rFont val="Arial"/>
        <family val="2"/>
      </rPr>
      <t>Code must be commented/uncommented</t>
    </r>
    <r>
      <rPr>
        <sz val="10"/>
        <rFont val="Arial"/>
        <family val="2"/>
      </rPr>
      <t xml:space="preserve"> based on which template contains the code.
• Content-specific rules removed from all but the Content profiles.
• A formula is now used to determine whether golden rules are included in each profile. This should be more reliable than hard-coded "x"s for each profile.
• Rows added to the References worksheet for the Data SLA template [ref. 1a] and the Data Spec template [ref. 4c].
• The Consistent Content modeling process document is superseded by the Data Model Review Process document [ref. 4b].
• Rule added: 4.1.2, splitting out 3-year rule from 4.1.1.
• Changes to the wording of rules 1.1.1, 2.1.1,  4.1.1, 4.1.2 (now 4.1.3),  4.2.5,  4.3.2,  5.1.5,  5.3.1,  5.4.1,  5.5.1,  6.1.2,  7.1.1,  7.3.1,  7.5.1,  7.7.1.</t>
    </r>
  </si>
  <si>
    <t>3.0.0</t>
  </si>
  <si>
    <t>A content asset must be stored in XML, or in a structure that preserves the same degree of information as would be preserved by properly tagged XML.</t>
  </si>
  <si>
    <t>4.1.4</t>
  </si>
  <si>
    <t>Compliant Data - Retention and Purging</t>
  </si>
  <si>
    <t>Data must be retained as required by the business and by legal and regulatory requirements, and destroyed thereafter.</t>
  </si>
  <si>
    <t>2.4.1</t>
  </si>
  <si>
    <t>2.5.1</t>
  </si>
  <si>
    <t>• New rules added: 2.4, 2.4.1, 2.5, 2.5.1, 3.5.1, 4.1.3</t>
  </si>
  <si>
    <t>GR:141</t>
  </si>
  <si>
    <t>SR:769</t>
  </si>
  <si>
    <t>SR:771</t>
  </si>
  <si>
    <t>SR:773</t>
  </si>
  <si>
    <t>3.1.0</t>
  </si>
  <si>
    <t>• Content profile split into Master Content and Product Content profiles.</t>
  </si>
  <si>
    <t>master content asset</t>
  </si>
  <si>
    <t>product content asset</t>
  </si>
  <si>
    <t>a content asset that is the single version of the truth for a particular content collection</t>
  </si>
  <si>
    <t>a content asset that is a purposed copy of a particular master content collection, maintained in a form that is specific to a product and/or a medium</t>
  </si>
  <si>
    <t>PRF:18</t>
  </si>
  <si>
    <t>PRF:19</t>
  </si>
  <si>
    <t>Master Content Asset</t>
  </si>
  <si>
    <t>Product Content Asset</t>
  </si>
  <si>
    <t>O</t>
  </si>
  <si>
    <t>Q</t>
  </si>
  <si>
    <t>REFERENCE VALUES--DO NOT EDIT</t>
  </si>
  <si>
    <t>G</t>
  </si>
  <si>
    <t>Y</t>
  </si>
  <si>
    <t>R</t>
  </si>
  <si>
    <t>used for principle, golden rule, and overall rollups</t>
  </si>
  <si>
    <t>not valid for principle rollups or overall rollups</t>
  </si>
  <si>
    <t>No</t>
  </si>
  <si>
    <t>T-WVR</t>
  </si>
  <si>
    <t>P-WVR</t>
  </si>
  <si>
    <t>used for rule scores and Profile On answers</t>
  </si>
  <si>
    <t>Level 1</t>
  </si>
  <si>
    <t>Level 2</t>
  </si>
  <si>
    <t>Level 3</t>
  </si>
  <si>
    <t>Level 4</t>
  </si>
  <si>
    <t>Safe</t>
  </si>
  <si>
    <t>4.3</t>
  </si>
  <si>
    <t>Note that the mapping of architecture principles to Business Objectives is as follows:</t>
  </si>
  <si>
    <t>Level</t>
  </si>
  <si>
    <t xml:space="preserve">Business Objective                                          Principles </t>
  </si>
  <si>
    <t>Principles</t>
  </si>
  <si>
    <t xml:space="preserve">Global </t>
  </si>
  <si>
    <r>
      <t xml:space="preserve">• Applied custom format to Summary Comment cells on Summary tab with </t>
    </r>
    <r>
      <rPr>
        <sz val="9"/>
        <rFont val="Lucida Console"/>
        <family val="3"/>
      </rPr>
      <t>General;General;""</t>
    </r>
    <r>
      <rPr>
        <sz val="10"/>
        <rFont val="Arial"/>
        <family val="2"/>
      </rPr>
      <t xml:space="preserve"> so that blank answers don't display as zeroes.</t>
    </r>
  </si>
  <si>
    <t>• Fix copy and paste error: Data Validation on Objectives cells now list the right principles.</t>
  </si>
  <si>
    <t>• Fix logic in ValidatePScore and ValidateGRScore to ignore N/A answers to rules not in  the governance level. This reduces noise warnings from scorecards initialized from older scorecards.</t>
  </si>
  <si>
    <t>Gregory Saxton</t>
  </si>
  <si>
    <t>• Changed code such that code is now 100% identical for both system and data asset scorecards, removing minor version limitation from v 2.11.0
• Localization changes to handling of decimal point in unformatted cells for rules and mapping. Issue was discovered by LN France.
• Improved formatting of text in summary tab to truncate text when appropriate</t>
  </si>
  <si>
    <t>3.1.5</t>
  </si>
  <si>
    <t>4.0.0</t>
  </si>
  <si>
    <t>A data asset must manage a given type of data in a single system asset and in a single format.</t>
  </si>
  <si>
    <t>3.2.4</t>
  </si>
  <si>
    <t>Reference values within a database MUST be identified by meaningless surrogate keys.</t>
  </si>
  <si>
    <t>SR:789</t>
  </si>
  <si>
    <t>SR:788</t>
  </si>
  <si>
    <t>• Added rule 3.2.4 (SR:788).
• Rule 4.1.3 (SR:773) rewritten to be positive rather than negative.
• Rule 4.2.3 (SR:640) added to the Master Content Asset profile.
• Modified rule 4.2.4 (SR:641) to add [ref. 4d].
• Added rule 4.2.5 (SR:642) to Business Data Asset profile.
• Added rule 5.2.3 (SR:789).
• Removed all ActiveX objects. These were preventing the spreadsheet from working on Apple MacIntosh computers.</t>
  </si>
  <si>
    <t>PermID</t>
  </si>
  <si>
    <t>Error or Warning</t>
  </si>
  <si>
    <t>Ref.</t>
  </si>
  <si>
    <t>Message</t>
  </si>
  <si>
    <t>debt set aside for irrelevant rules</t>
  </si>
  <si>
    <t>Justification of Risk Level</t>
  </si>
  <si>
    <t>4.0.1</t>
  </si>
  <si>
    <t>• UpdateScorecard macro only processes rules enabled by governance level and profiles.
• Create button macros on Debt Capture sheet to replace ActiveX objects removed in the last release.
• Most JSON messages now placed on new Messages worksheet instead of being shown in the frmJSON form.
• Warnings are no longer given for correct answers to irrelevant rules. (A rule is irrelevant if it is not selected by an active profile or is on a principle not in the current governance level.)
• Helpful comments for Summary Comments, Summary of Changes, RIsk Actions, and Risk Comments are moved into comments, so that an error will be generated if these fields are not filled out.
• Cleared hyperlink base so that relative hyperlinks within this worksheet would work.</t>
  </si>
  <si>
    <t>• Take golden rule and principle responses from principle worksheets rather than from the Summary worksheet. This eliminates a bug in the SerializeToJSON macro where blank golden rule responses were being reported as errors when the golden rule wasn't in the profile. It also eliminates the danger that a Summary tab that failed to reference a golden rule would result in that rule's response not being output to JSON. Also, cleaned up the macro code a bit.
• Irrelevant rules are no longer output to JSON.
• Widen frmJSON so full messages can be seen.
• Default all answers to blank rather than "N/A".
• Fixed custom format on Summary tab (3.1.1 change seems to have gotten lost). Simplified conditional formatting.</t>
  </si>
  <si>
    <t>4.0.2</t>
  </si>
  <si>
    <t>• Fix print areas on many sheets. 
• Add macro SetRuleSheetPrintAreas. 
• Clean up rule sheet title formatting (on row 2).</t>
  </si>
  <si>
    <t>4.0.3</t>
  </si>
  <si>
    <t>• Generalize macro SetRuleSheetPrintAreas to FormatScorecard. This is where formatting knowledge can be placed, to ensure that critical cell formats are correct.
• Eliminate use of Application.DecimalSeparator, which was the wrong solution for globalization. The right solution was to format rule reference numbers as text (see above).
• Do a better job of suppressing screen updates.
• Add macro RuleSheetPrincipleNumber, which centralizes the extraction of the principle number from a rule sheet name.
• Reference [5c] now references Technology Problem #4.
• Don't require debt items on Should rules.
• Update FormatScorecard to fix the format of cells on the Summary tab.</t>
  </si>
  <si>
    <t>5.0.0</t>
  </si>
  <si>
    <t>Structured data fields must be defined with reference to a type, foreign key, or list of values that limits the possible values as much as possible to legitimate values only.</t>
  </si>
  <si>
    <t>Data Asset Specification Template</t>
  </si>
  <si>
    <t>master, no mod planned</t>
  </si>
  <si>
    <t>a master content asset that is product-specific</t>
  </si>
  <si>
    <t>U</t>
  </si>
  <si>
    <t>PRF:25</t>
  </si>
  <si>
    <t>Master No Mod Planned</t>
  </si>
  <si>
    <t>A data asset's external interface must have a physical data model, schema, DTD, or other design artifact, and its implementation must be in strict conformance with it.</t>
  </si>
  <si>
    <t>SR:792</t>
  </si>
  <si>
    <t>SR:793</t>
  </si>
  <si>
    <t>Flexible Data - Data Handling</t>
  </si>
  <si>
    <t>Data must comply with specified minimum data handling standards to support low cost of use and a high degree of interoperability across systems.</t>
  </si>
  <si>
    <t>GR:145</t>
  </si>
  <si>
    <t>• Added new profile, "Master, No Mod Planned". This has the same rule mappings as Master Content Asset minus rules that require the master to be product-neutral.
• Changed wording of rules 3.6.1 (SR:634), 4.3.1 (SR:644), 3.2.4 (SR:788), 3.1.2 (SR:622), 4.1.4 (SR:637), 2.4.1 (SR:769),
6.1.3 (SR:660), 5.2.1 (SR:652), 6.2.4 (SR:664), 6.2.5 (SR:665), 6.2.6 (SR:666), 6.2.7 (SR:667),
5.1.2 (SR:647)
• With the wording change to 5.1.2, 5.1.4 (SR:649) is no longer needed and has been deleted.
• Added golden rule 7.8 (GR:145). Moved scorecard rules 6.1.1 (SR:658), 6.1.2 (SR:659), and 6.2.4 (SR:664) under this new golden rule. This makes some global rules "table stakes", whether or not the data asset is  globalized.
• Removed the mapping of scorecard rule 3.2.4 (SR:788) to the Product Content Asset and Relationship Asset profiles.
• Removed the mapping of scorecard rule 3.6.1 (SR:634) to the Master Content Asset profile.
• Added rules 3.1.4 to 3.1.7 (SR:790 to SR:793) to govern XML interface schemas the same as XML master content schemas.</t>
  </si>
  <si>
    <t>Yes-N/A</t>
  </si>
  <si>
    <t>5.0.1</t>
  </si>
  <si>
    <t>• Validate additional infrastructure debt columns (Monthly OpEx, One Time Cost).
• Validate Debt IDs. They must be numeric.
• Scorecard rule answer "N/A" changed to "Yes-N/A".</t>
  </si>
  <si>
    <t>5.1.0</t>
  </si>
  <si>
    <t>• Changed wording of 7.1.2 (SR:669)
• Enabled 3.6.1 (SR:634) for the Master, No Mod Planned profile.
• Removed 5.1.2 (SR:647) from the Business Data Asset profile.
• Debt IDs required to be numeric, and Yes-N/A answers require explanations.</t>
  </si>
  <si>
    <t>A master data asset must be described by a conceptual data model.</t>
  </si>
  <si>
    <t>5.2.0</t>
  </si>
  <si>
    <t>• Broadened 4.2.1 (SR:638) to cover data, not just content. Added 4.2.1 to the Entity Master Asset profile.</t>
  </si>
  <si>
    <t>There must be well-established processes for managing changes to the data of a data asset.</t>
  </si>
  <si>
    <t>5.3.0</t>
  </si>
  <si>
    <t>• Broadened 3.3 (GR:108), 3.3.1 (SR:627) to cover data, not just content. Added to all profiles except Product Content.
• Added 3.4 (GR:109), 3.4.1 (SR:628), 3.4.2 (SR:629), and 3.4.3 (SR:630) to the Entity Master Asset profile.</t>
  </si>
  <si>
    <t>If setting aside (copying) debt from columns C&amp;D to F&amp;G, make sure to clear columns C, D, and E.</t>
  </si>
  <si>
    <t>• Removed WVR as a possible golden rule answer.
• Added guidance about clearing Debt Capture cells when setting aside debt.
• Made Debt Capture principle total formulas more robust.
• Added per-business-objective totals on Scorecard tab.
• Removed data asset type in cell H6 on Scorecard tab.</t>
  </si>
  <si>
    <t>5.3.2</t>
  </si>
  <si>
    <t>• Fixed macro location of Business Objective comments cells, SCORECARD_COL_OBJECTIVE_COMMENT.</t>
  </si>
  <si>
    <t>Min Debt (SM)</t>
  </si>
  <si>
    <t>Max Debt (SM)</t>
  </si>
  <si>
    <t>5.4.0</t>
  </si>
  <si>
    <t>Standard Technologies for Data Model Repository</t>
  </si>
  <si>
    <t>• Scorecard rules 5.2.1 (SR:652) and 5.2.2 (SR:653) simplified.
• Reference 1a to the Data SLA deleted; references to Data SLA deleted from scorecard rules 1.1.1 (SR:617) and 5.4.1 (SR:655).
• Scorecard rule 4.3.1 (SR:644) added to the Master, No Mod Planned profile.</t>
  </si>
  <si>
    <t>We must manage and protect our data in compliance with laws, regulations, and corporate policies.</t>
  </si>
  <si>
    <t>We must ensure that data is maintained in a well-controlled manner, and that users can rely on data’s structure and values to be confined to those promised by its stewards.</t>
  </si>
  <si>
    <t>Master data declares an authoritative "single source of truth" that avoids data redundancy. Since it is meant to displace lower quality sources of the same data and can be used in many places, standards for its definition are higher.</t>
  </si>
  <si>
    <t>Reliable Data</t>
  </si>
  <si>
    <t>Reliable Data - Indirection</t>
  </si>
  <si>
    <t>A data asset must have a well-established set of operational data quality control processes to ensure the data’s value.</t>
  </si>
  <si>
    <t>There must be well-established processes for curating data.</t>
  </si>
  <si>
    <t>Reliable Data - Data Curation</t>
  </si>
  <si>
    <t>There must be current, documented editorial policies associated with a content asset.</t>
  </si>
  <si>
    <t>Data must be accurate to its original source, its context preserved, and its origin tracked.</t>
  </si>
  <si>
    <t>There must be committed resources responsible for maintaining the data to the quality level required for a positive customer experience, as evidenced by a positive operational data quality metric trend.</t>
  </si>
  <si>
    <t>SR:1796</t>
  </si>
  <si>
    <t>SR:1795</t>
  </si>
  <si>
    <t>There must be committed resources responsible for maintaining enrichment to the quality level required for a positive customer experience, as evidenced by a positive enrichment quality metric trend.</t>
  </si>
  <si>
    <t>6.0.0</t>
  </si>
  <si>
    <t>Reliable</t>
  </si>
  <si>
    <t>SR:627</t>
  </si>
  <si>
    <t>We need to structure and manage our content so that it can be used in many products in different locales, repeatedly enriched for ever-increasing value, mined for analytics, and reformatted for optimal customer experience, at the lowest possible cost.</t>
  </si>
  <si>
    <t>To support the rich diversity of our global business and enable sharing data for our own optimization and directly for customers, all data sets must follow the globalization/localization rules.</t>
  </si>
  <si>
    <t>• Principle 3 renamed from Controlled Data to Reliable Data. Corresponding changes were made to all the golden rule names under principle 3.
• Business objective Sustainable (BO:7) renamed to Versatile. Principle 5, Preserved, moved from Operable objective (BO:6) to Sustainable/Versatile objective. Principle 4, Master Data, moved from Sustainable/Versatile objective to Operable objective.
• Golden rule 3.3 (GR:108) deleted. Scorecard rule 3.4.2 (SR:629) deleted. Former scorecard rule 3.3.1 (SR:627)  moved under golden rule 3.4 (GR:109) (which is now 3.3), to become scorecard rule 3.3.2, replacing SR:629. 
• Scorecard rule 5.1.4 (SR:650) deleted, as it was already covered under principle 7, Flexible.
• Scorecard rules 7.1.3 (SR:1795) and 7.1.4 (SR:1796) added.
• Wording improvements made to principles 1-5 and 7, golden rules 3.2, 3.3 (formerly 3.4), 5.1, and 5.4, and scorecard rules 3.3.1 (formerly 3.4.1), 3.3.2 (formerly 3.4.2), 3.5.1 (formerly 3.6.1), 5.2.1, 5.4.1, and 5.5.1. Names of golden rules 5.1, 5.4, and 5.5 changed.
• Add logic in InitFromPrev macro, InitFromModernized function, to map old answers to current scorecard even when the principle name changed.</t>
  </si>
  <si>
    <t>6.0.1</t>
  </si>
  <si>
    <t>• Fix logic in InitFromPrev macro, InitFromModernized function, to ignore rules whose principle changed but where there is no corresponding old rule.</t>
  </si>
  <si>
    <t>2.1.2</t>
  </si>
  <si>
    <t>Access to data must not be granted until the terms of access are documented and agreed to by the data owner (or her delegates) and the party or parties receiving access.</t>
  </si>
  <si>
    <t>Data must be classified and managed according to the Information Value Classification Instructions.</t>
  </si>
  <si>
    <t>Data assets must be managed in compliance with applicable regulations.</t>
  </si>
  <si>
    <t>Data whose usage is restricted by its provider with regard to intellectual property rights, privacy, or any other aspect must be managed and shared with respect to these restrictions.</t>
  </si>
  <si>
    <t>1.1.2</t>
  </si>
  <si>
    <t>1.1.3</t>
  </si>
  <si>
    <t>1.1.4</t>
  </si>
  <si>
    <t>1.2</t>
  </si>
  <si>
    <t>1.2.1</t>
  </si>
  <si>
    <t>Database designs must be flexible to support changing business requirements.</t>
  </si>
  <si>
    <t>The schema used for sharing a data asset with consumers must be modifiable independently of the master schema.</t>
  </si>
  <si>
    <t>XML data assets must provide the locations of XML schemas that define all of the XML elements and attributes used in the asset.</t>
  </si>
  <si>
    <t xml:space="preserve">Metrics on data quality must be provided at a rate appropriate to the data update frequency and importance to the business. </t>
  </si>
  <si>
    <t>Data asset and interface schemas that are under the control of the company must be managed in a controlled manner.</t>
  </si>
  <si>
    <t>Schemas for data assets must be maintained in a management system that provides version control.</t>
  </si>
  <si>
    <t xml:space="preserve">Schemas for data assets interfaces must be maintained in a management system that provides version control. </t>
  </si>
  <si>
    <t>Schemas for data assets must be maintained in a transparent process that includes communication to stakeholders</t>
  </si>
  <si>
    <t xml:space="preserve">Schemas for data assets interfaces must be maintained in a transparent process that includes communication to stakeholders. </t>
  </si>
  <si>
    <t>An XML document must identify its controlling schema or DTD.</t>
  </si>
  <si>
    <t>Enhancements and enrichments applied to a content asset must be identifiable and not disturb the integrity and context of original data.</t>
  </si>
  <si>
    <t>Data from third parties must be preserved either in its original format or in another format via a non-lossy transform from the original format.</t>
  </si>
  <si>
    <t>Relationships expressed in original data must be maintained throughout processing.</t>
  </si>
  <si>
    <t>Data derived from other data items must be traceable back to the data items from which it was derived.</t>
  </si>
  <si>
    <t>A data asset must be complete as required by and advertised to consumers.</t>
  </si>
  <si>
    <t>The extent to which a history of changes to the data is kept in the data asset must be specified. Current and prior data values, if required to be kept, must be kept in sync with its sources.</t>
  </si>
  <si>
    <t>2.2.2</t>
  </si>
  <si>
    <t>2.2.3</t>
  </si>
  <si>
    <t>2.3.2</t>
  </si>
  <si>
    <t>2.3.3</t>
  </si>
  <si>
    <t>2.4</t>
  </si>
  <si>
    <t>2.4.2</t>
  </si>
  <si>
    <t>2.4.3</t>
  </si>
  <si>
    <t>2.4.4</t>
  </si>
  <si>
    <t>2.5.2</t>
  </si>
  <si>
    <t>2.6.1</t>
  </si>
  <si>
    <t>2.6.2</t>
  </si>
  <si>
    <t>2.6.3</t>
  </si>
  <si>
    <t>2.6.4</t>
  </si>
  <si>
    <t>2.7.1</t>
  </si>
  <si>
    <t>2.8.1</t>
  </si>
  <si>
    <t>2.8.2</t>
  </si>
  <si>
    <t>A data asset must use permanent identifiers provided by data masters to reference those masters' data items.</t>
  </si>
  <si>
    <t>2.8.3</t>
  </si>
  <si>
    <t>2.8.4</t>
  </si>
  <si>
    <t>Data assets that are partly comprised of external data must obtain that data either directly from the master data asset or from an approved distribution of the master data.</t>
  </si>
  <si>
    <t>Master content assets that are considered valuable by the business must be described by a logical model.</t>
  </si>
  <si>
    <t>3.2.5</t>
  </si>
  <si>
    <t>3.2.6</t>
  </si>
  <si>
    <t>3.2.7</t>
  </si>
  <si>
    <t>3.2.8</t>
  </si>
  <si>
    <t>3.2.9</t>
  </si>
  <si>
    <t>Data must be traceable back to its master data asset.</t>
  </si>
  <si>
    <t>Date, time, currency, or other numbers that are or might be used as the basis for calculations must be stored in locale-independent representations, and optionally in locale-specific representations.</t>
  </si>
  <si>
    <t>To meet customers' expectations, content enrichment must be of high quality.</t>
  </si>
  <si>
    <t>The decision regarding what enrichments are applied to a given content asset must be documented.</t>
  </si>
  <si>
    <t>Content enrichments must be applied within the mastering boundary and not to product content assets or original source content.</t>
  </si>
  <si>
    <t>Enrichments (entities, citations, etc.) considered high value for this content must have metrics provided to demonstrate the quality of the enrichments and the trend in that quality over time.</t>
  </si>
  <si>
    <t>The degree of textual fidelity, style fidelity, and page fidelity for a given content asset must be documented and followed.</t>
  </si>
  <si>
    <t>XML data items must convey via an xml:lang attribute the language in which they are written.</t>
  </si>
  <si>
    <t>4.5</t>
  </si>
  <si>
    <t>4.5.1</t>
  </si>
  <si>
    <t>4.5.2</t>
  </si>
  <si>
    <t>4.5.3</t>
  </si>
  <si>
    <t>5.1.5</t>
  </si>
  <si>
    <t>Reliable Data - Data Quality Processes and Reporting</t>
  </si>
  <si>
    <t>Reliable Data - Schemas</t>
  </si>
  <si>
    <t>Reliable Data - Completeness</t>
  </si>
  <si>
    <t>Define whether this is a pre-implementation or a post-implementation scorecard.</t>
  </si>
  <si>
    <t xml:space="preserve">This is a pre-implementation review, which occurs after the architecture has been defined but before the code is complete.  There are fewer questions in a pre-implementation scorecard since compliance with most of the operability rules is unknown </t>
  </si>
  <si>
    <t xml:space="preserve">This is a post-implementation review, which occurs after the code is compete but before it's been deployed. </t>
  </si>
  <si>
    <t>1.d</t>
  </si>
  <si>
    <t>Select all of the profiles that apply to the asset.  The profiles define the behaviors of the asset in order to enable / disable the appropriate rules. See the section Scorecard Profiles on the Wiki page System Asset Scorecard Template for details.</t>
  </si>
  <si>
    <t>Fast to Market</t>
  </si>
  <si>
    <t>Severity</t>
  </si>
  <si>
    <t>Impact</t>
  </si>
  <si>
    <t>Likelihood</t>
  </si>
  <si>
    <t>Difficulty Answering (Low:1 - High:10)</t>
  </si>
  <si>
    <t>SQL</t>
  </si>
  <si>
    <t>Catastrophic</t>
  </si>
  <si>
    <t>7.0.0</t>
  </si>
  <si>
    <t>• Scorecard streamlined
• New business objectives:
Operable becomes Reliable
Versatile becomes Fast to Market
• Secure and Preserved principles deleted
• All principles renumbered.</t>
  </si>
  <si>
    <t>4. Flexible Data</t>
  </si>
  <si>
    <t>5. Global Data</t>
  </si>
  <si>
    <t>1. Compliant Data</t>
  </si>
  <si>
    <t>2. Reliable Data</t>
  </si>
  <si>
    <t>3. Master Data</t>
  </si>
  <si>
    <t>5</t>
  </si>
  <si>
    <t>; 5. Global</t>
  </si>
  <si>
    <t>; 2. Reliable Data; 3. Master Data</t>
  </si>
  <si>
    <t>; 4. Flexible Dara</t>
  </si>
  <si>
    <t>; 1. Compliant Data</t>
  </si>
  <si>
    <t>Safe + Reliable</t>
  </si>
  <si>
    <t>Safe + Reliable + Fast to Market</t>
  </si>
  <si>
    <t>Safe + Reliable + Fast to Market + Global</t>
  </si>
  <si>
    <t>Golden Rule Tabs   (1. Compliant Data … 5. Global Data</t>
  </si>
  <si>
    <t>Reliable Data - Accuracy</t>
  </si>
  <si>
    <t>Reliable Data - Timeliness</t>
  </si>
  <si>
    <t>1a</t>
  </si>
  <si>
    <t>3b</t>
  </si>
  <si>
    <r>
      <t xml:space="preserve">Data models must be maintained in a transparent process that includes communication to stakeholders </t>
    </r>
    <r>
      <rPr>
        <sz val="10"/>
        <color rgb="FF0070C0"/>
        <rFont val="Arial"/>
        <family val="2"/>
      </rPr>
      <t>[ref. 3b]</t>
    </r>
    <r>
      <rPr>
        <sz val="10"/>
        <rFont val="Arial"/>
        <family val="2"/>
      </rPr>
      <t>.</t>
    </r>
  </si>
  <si>
    <t>1c</t>
  </si>
  <si>
    <r>
      <t xml:space="preserve">Data retention and purguing must be managed to comply with legal and regulatory requirements, corporate data retention standards, and business requirements </t>
    </r>
    <r>
      <rPr>
        <sz val="10"/>
        <color rgb="FF0070C0"/>
        <rFont val="Arial"/>
        <family val="2"/>
      </rPr>
      <t>[ref. 1c]</t>
    </r>
    <r>
      <rPr>
        <sz val="10"/>
        <rFont val="Arial"/>
        <family val="2"/>
      </rPr>
      <t>.</t>
    </r>
  </si>
  <si>
    <r>
      <t xml:space="preserve">A data asset must be classified according to the Information Value Classification Instructions found on the Corporate Compliance Department Record Management site </t>
    </r>
    <r>
      <rPr>
        <sz val="10"/>
        <color rgb="FF00B0F0"/>
        <rFont val="Arial"/>
        <family val="2"/>
      </rPr>
      <t>[ref. 1a]</t>
    </r>
    <r>
      <rPr>
        <sz val="10"/>
        <rFont val="Arial"/>
        <family val="2"/>
      </rPr>
      <t xml:space="preserve">. This classification must be recorded in the Data Specification for the data asset </t>
    </r>
    <r>
      <rPr>
        <sz val="10"/>
        <color rgb="FF0070C0"/>
        <rFont val="Arial"/>
        <family val="2"/>
      </rPr>
      <t>[ref. 1c]</t>
    </r>
    <r>
      <rPr>
        <sz val="10"/>
        <rFont val="Arial"/>
        <family val="2"/>
      </rPr>
      <t>.</t>
    </r>
  </si>
  <si>
    <r>
      <t xml:space="preserve">A data set must reflect a complete set of data as defined in its Data Specification </t>
    </r>
    <r>
      <rPr>
        <sz val="10"/>
        <color rgb="FF0070C0"/>
        <rFont val="Arial"/>
        <family val="2"/>
      </rPr>
      <t>[ref. 1c]</t>
    </r>
    <r>
      <rPr>
        <sz val="10"/>
        <rFont val="Arial"/>
        <family val="2"/>
      </rPr>
      <t>.</t>
    </r>
  </si>
  <si>
    <r>
      <t xml:space="preserve">Historical data  (e.g., archives, prior editions, history of revisions) must be preserved in the data asset in keeping with its data specification </t>
    </r>
    <r>
      <rPr>
        <sz val="10"/>
        <color rgb="FF0070C0"/>
        <rFont val="Arial"/>
        <family val="2"/>
      </rPr>
      <t>[ref. 1c]</t>
    </r>
    <r>
      <rPr>
        <sz val="10"/>
        <rFont val="Arial"/>
        <family val="2"/>
      </rPr>
      <t>.</t>
    </r>
  </si>
  <si>
    <r>
      <t xml:space="preserve">The implementation of a master data asset must be in strict conformance with the intent of its Data Specification </t>
    </r>
    <r>
      <rPr>
        <sz val="10"/>
        <color rgb="FF0070C0"/>
        <rFont val="Arial"/>
        <family val="2"/>
      </rPr>
      <t>[ref. 1c]</t>
    </r>
    <r>
      <rPr>
        <sz val="10"/>
        <rFont val="Arial"/>
        <family val="2"/>
      </rPr>
      <t>, and with its conceptual, logical, and physical data models/schemas or other controlling design artifact, as provided and maintained by an authorized data or content architect.</t>
    </r>
  </si>
  <si>
    <t>3d</t>
  </si>
  <si>
    <r>
      <t xml:space="preserve">Data models must be maintained in an approved data model repository </t>
    </r>
    <r>
      <rPr>
        <sz val="10"/>
        <color rgb="FF0070C0"/>
        <rFont val="Arial"/>
        <family val="2"/>
      </rPr>
      <t>[ref. 3d]</t>
    </r>
    <r>
      <rPr>
        <sz val="10"/>
        <rFont val="Arial"/>
        <family val="2"/>
      </rPr>
      <t>.</t>
    </r>
  </si>
  <si>
    <r>
      <t xml:space="preserve">Money values that are or might be used as the basis for calculations must be stored as both a numeric value plus a specification of the currency in question using an identifier compliant with the company's Technology Standard for the Representation of Currency </t>
    </r>
    <r>
      <rPr>
        <sz val="10"/>
        <color rgb="FF0070C0"/>
        <rFont val="Arial"/>
        <family val="2"/>
      </rPr>
      <t>[ref. 5b]</t>
    </r>
    <r>
      <rPr>
        <sz val="10"/>
        <rFont val="Arial"/>
        <family val="2"/>
      </rPr>
      <t>.</t>
    </r>
  </si>
  <si>
    <t>5b</t>
  </si>
  <si>
    <r>
      <t xml:space="preserve">Time of day values that are not accompanied by a date must be stored either in a DBMS-specific time type field, if available to the data asset, or in a string format compliant with the company's Technology Standard for the Representation of Date and Time Values </t>
    </r>
    <r>
      <rPr>
        <sz val="10"/>
        <color rgb="FF0070C0"/>
        <rFont val="Arial"/>
        <family val="2"/>
      </rPr>
      <t>[ref. 5c]</t>
    </r>
    <r>
      <rPr>
        <sz val="10"/>
        <rFont val="Arial"/>
        <family val="2"/>
      </rPr>
      <t>.</t>
    </r>
  </si>
  <si>
    <t>5c</t>
  </si>
  <si>
    <r>
      <t xml:space="preserve">Date values that are used as the basis for calculations must be stored either in a DBMS-specific date type field or in a string format compliant with the company's Technology Standard for the Representation of Date and Time Values </t>
    </r>
    <r>
      <rPr>
        <sz val="10"/>
        <color rgb="FF0070C0"/>
        <rFont val="Arial"/>
        <family val="2"/>
      </rPr>
      <t>[ref. 5c]</t>
    </r>
    <r>
      <rPr>
        <sz val="10"/>
        <rFont val="Arial"/>
        <family val="2"/>
      </rPr>
      <t>. In any case, the date must be with respect to Coordinated Universal Time (UTC).</t>
    </r>
  </si>
  <si>
    <r>
      <t xml:space="preserve">Time-zone-specific date/times may optionally be stored but then MUST be accompanied by a time zone identifier that is either DBMS-specific or is compliant with the company's Technology Standard for the Representation of Time Zones </t>
    </r>
    <r>
      <rPr>
        <sz val="10"/>
        <color rgb="FF0070C0"/>
        <rFont val="Arial"/>
        <family val="2"/>
      </rPr>
      <t>[ref. 5d]</t>
    </r>
    <r>
      <rPr>
        <sz val="10"/>
        <rFont val="Arial"/>
        <family val="2"/>
      </rPr>
      <t>.</t>
    </r>
  </si>
  <si>
    <t>5d</t>
  </si>
  <si>
    <r>
      <t xml:space="preserve">Locale-specific date/time representations may optionally be stored but then must be accompanied by a locale specifier that is either DBMS-specific or is compliant with the company's Technology Standard for Locales </t>
    </r>
    <r>
      <rPr>
        <sz val="10"/>
        <color rgb="FF0070C0"/>
        <rFont val="Arial"/>
        <family val="2"/>
      </rPr>
      <t>[ref 5e]</t>
    </r>
    <r>
      <rPr>
        <sz val="10"/>
        <rFont val="Arial"/>
        <family val="2"/>
      </rPr>
      <t>.</t>
    </r>
  </si>
  <si>
    <t>5e</t>
  </si>
  <si>
    <t>GR:1163</t>
  </si>
  <si>
    <t>SR:1819</t>
  </si>
  <si>
    <t>SR:1820</t>
  </si>
  <si>
    <t>SR:1821</t>
  </si>
  <si>
    <t>SR:1822</t>
  </si>
  <si>
    <t>Reliable Data - Data Asset Implementation</t>
  </si>
  <si>
    <t>7.1.0</t>
  </si>
  <si>
    <t>• Golden rule 2.5 (GR:111) renamed "Reliable Data - Data Asset Implementation".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</si>
</sst>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409]d\-mmm\-yy;@"/>
    <numFmt numFmtId="165" formatCode="[$-409]d\ mmm\ yyyy;@"/>
    <numFmt numFmtId="166" formatCode="0.0"/>
    <numFmt numFmtId="167" formatCode="yyyy\-mm\-dd"/>
  </numFmts>
  <fonts count="69" x14ac:knownFonts="1">
    <font>
      <sz val="10"/>
      <name val="Arial"/>
    </font>
    <font>
      <sz val="11"/>
      <color theme="1"/>
      <name val="Calibri"/>
      <family val="2"/>
      <scheme val="minor"/>
    </font>
    <font>
      <sz val="8"/>
      <name val="Arial"/>
      <family val="2"/>
    </font>
    <font>
      <sz val="10"/>
      <color indexed="18"/>
      <name val="Arial"/>
      <family val="2"/>
    </font>
    <font>
      <b/>
      <sz val="14"/>
      <color indexed="9"/>
      <name val="Arial"/>
      <family val="2"/>
    </font>
    <font>
      <b/>
      <sz val="10"/>
      <name val="Arial"/>
      <family val="2"/>
    </font>
    <font>
      <sz val="10"/>
      <name val="Arial"/>
      <family val="2"/>
    </font>
    <font>
      <sz val="10"/>
      <color indexed="8"/>
      <name val="Arial"/>
      <family val="2"/>
    </font>
    <font>
      <sz val="8"/>
      <name val="Arial"/>
      <family val="2"/>
    </font>
    <font>
      <b/>
      <i/>
      <sz val="14"/>
      <color indexed="31"/>
      <name val="Arial"/>
      <family val="2"/>
    </font>
    <font>
      <b/>
      <sz val="16"/>
      <name val="Arial"/>
      <family val="2"/>
    </font>
    <font>
      <sz val="10"/>
      <color indexed="8"/>
      <name val="Arial"/>
      <family val="2"/>
    </font>
    <font>
      <sz val="10"/>
      <name val="Arial"/>
      <family val="2"/>
    </font>
    <font>
      <sz val="9"/>
      <name val="Arial"/>
      <family val="2"/>
    </font>
    <font>
      <sz val="11"/>
      <name val="Arial"/>
      <family val="2"/>
    </font>
    <font>
      <b/>
      <i/>
      <sz val="14"/>
      <color indexed="56"/>
      <name val="Arial"/>
      <family val="2"/>
    </font>
    <font>
      <b/>
      <sz val="10"/>
      <color indexed="56"/>
      <name val="Arial"/>
      <family val="2"/>
    </font>
    <font>
      <b/>
      <sz val="10"/>
      <color indexed="8"/>
      <name val="Arial"/>
      <family val="2"/>
    </font>
    <font>
      <sz val="9"/>
      <color indexed="9"/>
      <name val="Arial"/>
      <family val="2"/>
    </font>
    <font>
      <b/>
      <sz val="14"/>
      <color indexed="9"/>
      <name val="Arial"/>
      <family val="2"/>
    </font>
    <font>
      <sz val="10"/>
      <color indexed="9"/>
      <name val="Arial"/>
      <family val="2"/>
    </font>
    <font>
      <sz val="8"/>
      <color indexed="17"/>
      <name val="Arial"/>
      <family val="2"/>
    </font>
    <font>
      <b/>
      <sz val="18"/>
      <color indexed="56"/>
      <name val="Arial"/>
      <family val="2"/>
    </font>
    <font>
      <sz val="10"/>
      <color indexed="56"/>
      <name val="Arial"/>
      <family val="2"/>
    </font>
    <font>
      <sz val="14"/>
      <name val="Arial"/>
      <family val="2"/>
    </font>
    <font>
      <b/>
      <i/>
      <sz val="9"/>
      <name val="Arial"/>
      <family val="2"/>
    </font>
    <font>
      <b/>
      <sz val="12"/>
      <name val="Arial"/>
      <family val="2"/>
    </font>
    <font>
      <sz val="12"/>
      <name val="Arial"/>
      <family val="2"/>
    </font>
    <font>
      <b/>
      <i/>
      <sz val="14"/>
      <name val="Arial"/>
      <family val="2"/>
    </font>
    <font>
      <sz val="11"/>
      <color rgb="FF006100"/>
      <name val="Calibri"/>
      <family val="2"/>
      <scheme val="minor"/>
    </font>
    <font>
      <u/>
      <sz val="10"/>
      <color theme="10"/>
      <name val="Arial"/>
      <family val="2"/>
    </font>
    <font>
      <sz val="10"/>
      <color theme="1"/>
      <name val="Arial"/>
      <family val="2"/>
    </font>
    <font>
      <b/>
      <sz val="10"/>
      <color theme="1"/>
      <name val="Arial"/>
      <family val="2"/>
    </font>
    <font>
      <b/>
      <sz val="12"/>
      <color theme="1"/>
      <name val="Arial"/>
      <family val="2"/>
    </font>
    <font>
      <sz val="10"/>
      <color rgb="FF000000"/>
      <name val="Arial"/>
      <family val="2"/>
    </font>
    <font>
      <b/>
      <sz val="12"/>
      <color rgb="FF000000"/>
      <name val="Calibri"/>
      <family val="2"/>
    </font>
    <font>
      <b/>
      <sz val="10"/>
      <color rgb="FF000000"/>
      <name val="Arial"/>
      <family val="2"/>
    </font>
    <font>
      <sz val="12"/>
      <color rgb="FF000000"/>
      <name val="Arial"/>
      <family val="2"/>
    </font>
    <font>
      <sz val="9"/>
      <color theme="1"/>
      <name val="Arial"/>
      <family val="2"/>
    </font>
    <font>
      <b/>
      <i/>
      <sz val="11"/>
      <color theme="1"/>
      <name val="Calibri"/>
      <family val="2"/>
      <scheme val="minor"/>
    </font>
    <font>
      <sz val="8"/>
      <color theme="3" tint="-0.249977111117893"/>
      <name val="Arial"/>
      <family val="2"/>
    </font>
    <font>
      <sz val="10"/>
      <color theme="0"/>
      <name val="Arial"/>
      <family val="2"/>
    </font>
    <font>
      <b/>
      <sz val="10"/>
      <color theme="0"/>
      <name val="Arial"/>
      <family val="2"/>
    </font>
    <font>
      <sz val="9"/>
      <color indexed="81"/>
      <name val="Tahoma"/>
      <family val="2"/>
    </font>
    <font>
      <b/>
      <sz val="9"/>
      <color indexed="81"/>
      <name val="Tahoma"/>
      <family val="2"/>
    </font>
    <font>
      <b/>
      <sz val="11"/>
      <name val="Calibri"/>
      <family val="2"/>
      <scheme val="minor"/>
    </font>
    <font>
      <b/>
      <sz val="16"/>
      <name val="Calibri"/>
      <family val="2"/>
    </font>
    <font>
      <sz val="10"/>
      <name val="Calibri"/>
      <family val="2"/>
      <scheme val="minor"/>
    </font>
    <font>
      <b/>
      <sz val="12"/>
      <color theme="1"/>
      <name val="Calibri"/>
      <family val="2"/>
      <scheme val="minor"/>
    </font>
    <font>
      <sz val="12"/>
      <name val="Calibri"/>
      <family val="2"/>
      <scheme val="minor"/>
    </font>
    <font>
      <b/>
      <sz val="12"/>
      <name val="Calibri"/>
      <family val="2"/>
      <scheme val="minor"/>
    </font>
    <font>
      <b/>
      <i/>
      <sz val="11"/>
      <color indexed="56"/>
      <name val="Arial"/>
      <family val="2"/>
    </font>
    <font>
      <b/>
      <sz val="12"/>
      <color indexed="56"/>
      <name val="Arial"/>
      <family val="2"/>
    </font>
    <font>
      <b/>
      <i/>
      <sz val="16"/>
      <color indexed="56"/>
      <name val="Arial"/>
      <family val="2"/>
    </font>
    <font>
      <i/>
      <sz val="18"/>
      <name val="Arial"/>
      <family val="2"/>
    </font>
    <font>
      <sz val="18"/>
      <name val="Arial"/>
      <family val="2"/>
    </font>
    <font>
      <b/>
      <i/>
      <sz val="10"/>
      <color theme="1"/>
      <name val="Arial"/>
      <family val="2"/>
    </font>
    <font>
      <sz val="10"/>
      <color rgb="FFFF0000"/>
      <name val="Arial"/>
      <family val="2"/>
    </font>
    <font>
      <b/>
      <sz val="16"/>
      <color indexed="56"/>
      <name val="Arial"/>
      <family val="2"/>
    </font>
    <font>
      <sz val="10"/>
      <color rgb="FF00B0F0"/>
      <name val="Arial"/>
      <family val="2"/>
    </font>
    <font>
      <sz val="10"/>
      <color rgb="FF0070C0"/>
      <name val="Arial"/>
      <family val="2"/>
    </font>
    <font>
      <sz val="11"/>
      <color rgb="FF0033CC"/>
      <name val="Arial"/>
      <family val="2"/>
    </font>
    <font>
      <b/>
      <sz val="11"/>
      <color rgb="FF0033CC"/>
      <name val="Arial"/>
      <family val="2"/>
    </font>
    <font>
      <b/>
      <i/>
      <sz val="10"/>
      <color indexed="56"/>
      <name val="Arial"/>
      <family val="2"/>
    </font>
    <font>
      <b/>
      <sz val="10"/>
      <color rgb="FFFF0000"/>
      <name val="Arial"/>
      <family val="2"/>
    </font>
    <font>
      <b/>
      <sz val="11"/>
      <name val="Arial"/>
      <family val="2"/>
    </font>
    <font>
      <b/>
      <i/>
      <sz val="10"/>
      <name val="Arial"/>
      <family val="2"/>
    </font>
    <font>
      <sz val="9"/>
      <name val="Lucida Console"/>
      <family val="3"/>
    </font>
    <font>
      <b/>
      <sz val="10"/>
      <name val="Calibri"/>
      <family val="2"/>
    </font>
  </fonts>
  <fills count="37">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indexed="22"/>
        <bgColor indexed="64"/>
      </patternFill>
    </fill>
    <fill>
      <patternFill patternType="solid">
        <fgColor indexed="22"/>
        <bgColor indexed="22"/>
      </patternFill>
    </fill>
    <fill>
      <patternFill patternType="solid">
        <fgColor indexed="62"/>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26"/>
        <bgColor indexed="64"/>
      </patternFill>
    </fill>
    <fill>
      <patternFill patternType="solid">
        <fgColor rgb="FFC6EFCE"/>
      </patternFill>
    </fill>
    <fill>
      <patternFill patternType="solid">
        <fgColor theme="7" tint="0.59999389629810485"/>
        <bgColor indexed="64"/>
      </patternFill>
    </fill>
    <fill>
      <patternFill patternType="solid">
        <fgColor rgb="FFFFC000"/>
        <bgColor indexed="64"/>
      </patternFill>
    </fill>
    <fill>
      <patternFill patternType="solid">
        <fgColor theme="0" tint="-0.24994659260841701"/>
        <bgColor indexed="64"/>
      </patternFill>
    </fill>
    <fill>
      <patternFill patternType="solid">
        <fgColor rgb="FFFFFFFF"/>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5" tint="0.59999389629810485"/>
        <bgColor indexed="64"/>
      </patternFill>
    </fill>
    <fill>
      <patternFill patternType="solid">
        <fgColor theme="0" tint="-0.14996795556505021"/>
        <bgColor indexed="64"/>
      </patternFill>
    </fill>
    <fill>
      <patternFill patternType="solid">
        <fgColor rgb="FFCCFFCC"/>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FFCC"/>
        <bgColor indexed="64"/>
      </patternFill>
    </fill>
    <fill>
      <patternFill patternType="solid">
        <fgColor rgb="FF99CCFF"/>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rgb="FF000066"/>
        <bgColor indexed="64"/>
      </patternFill>
    </fill>
    <fill>
      <patternFill patternType="solid">
        <fgColor theme="3" tint="-0.249977111117893"/>
        <bgColor indexed="64"/>
      </patternFill>
    </fill>
    <fill>
      <patternFill patternType="solid">
        <fgColor rgb="FFE0DFDF"/>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0"/>
      </right>
      <top style="thin">
        <color indexed="64"/>
      </top>
      <bottom style="thin">
        <color indexed="64"/>
      </bottom>
      <diagonal/>
    </border>
    <border>
      <left style="thin">
        <color indexed="0"/>
      </left>
      <right style="thin">
        <color indexed="0"/>
      </right>
      <top style="thin">
        <color indexed="64"/>
      </top>
      <bottom style="thin">
        <color indexed="64"/>
      </bottom>
      <diagonal/>
    </border>
    <border>
      <left style="thin">
        <color indexed="64"/>
      </left>
      <right/>
      <top style="thin">
        <color indexed="64"/>
      </top>
      <bottom/>
      <diagonal/>
    </border>
    <border>
      <left/>
      <right style="medium">
        <color indexed="64"/>
      </right>
      <top/>
      <bottom/>
      <diagonal/>
    </border>
    <border>
      <left/>
      <right/>
      <top style="thin">
        <color indexed="64"/>
      </top>
      <bottom style="thin">
        <color indexed="64"/>
      </bottom>
      <diagonal/>
    </border>
    <border>
      <left style="thin">
        <color indexed="64"/>
      </left>
      <right/>
      <top/>
      <bottom/>
      <diagonal/>
    </border>
    <border>
      <left style="thin">
        <color indexed="0"/>
      </left>
      <right/>
      <top style="thin">
        <color indexed="64"/>
      </top>
      <bottom style="thin">
        <color indexed="64"/>
      </bottom>
      <diagonal/>
    </border>
    <border>
      <left/>
      <right style="thin">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style="thin">
        <color indexed="0"/>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n">
        <color indexed="64"/>
      </right>
      <top style="thick">
        <color rgb="FFFF000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thick">
        <color rgb="FFFF0000"/>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auto="1"/>
      </right>
      <top style="thin">
        <color auto="1"/>
      </top>
      <bottom style="thin">
        <color auto="1"/>
      </bottom>
      <diagonal/>
    </border>
  </borders>
  <cellStyleXfs count="4">
    <xf numFmtId="0" fontId="0" fillId="0" borderId="0"/>
    <xf numFmtId="0" fontId="29" fillId="11" borderId="0" applyNumberFormat="0" applyBorder="0" applyAlignment="0" applyProtection="0"/>
    <xf numFmtId="0" fontId="30" fillId="0" borderId="0" applyNumberFormat="0" applyFill="0" applyBorder="0" applyAlignment="0" applyProtection="0">
      <alignment vertical="top"/>
      <protection locked="0"/>
    </xf>
    <xf numFmtId="0" fontId="1" fillId="0" borderId="0"/>
  </cellStyleXfs>
  <cellXfs count="517">
    <xf numFmtId="0" fontId="0" fillId="0" borderId="0" xfId="0"/>
    <xf numFmtId="0" fontId="0" fillId="0" borderId="0" xfId="0" applyAlignment="1">
      <alignment wrapText="1"/>
    </xf>
    <xf numFmtId="0" fontId="0" fillId="2" borderId="0" xfId="0" applyFill="1" applyAlignment="1">
      <alignment vertical="top"/>
    </xf>
    <xf numFmtId="0" fontId="0" fillId="0" borderId="0" xfId="0" applyAlignment="1">
      <alignment horizontal="left"/>
    </xf>
    <xf numFmtId="0" fontId="0" fillId="0" borderId="0" xfId="0" applyFill="1"/>
    <xf numFmtId="0" fontId="6" fillId="2" borderId="1" xfId="0" applyFont="1" applyFill="1" applyBorder="1" applyAlignment="1">
      <alignment horizontal="left" vertical="top" wrapText="1"/>
    </xf>
    <xf numFmtId="0" fontId="0" fillId="0" borderId="0" xfId="0" applyAlignment="1">
      <alignment horizontal="left" vertical="top"/>
    </xf>
    <xf numFmtId="0" fontId="5" fillId="4" borderId="2" xfId="0" applyFont="1" applyFill="1" applyBorder="1" applyAlignment="1">
      <alignment horizontal="left" vertical="top" wrapText="1"/>
    </xf>
    <xf numFmtId="0" fontId="5" fillId="4" borderId="3"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3" xfId="0" applyFont="1" applyFill="1" applyBorder="1" applyAlignment="1">
      <alignment horizontal="left" vertical="top" wrapText="1"/>
    </xf>
    <xf numFmtId="0" fontId="0" fillId="0" borderId="0" xfId="0" applyAlignment="1">
      <alignment vertical="top"/>
    </xf>
    <xf numFmtId="0" fontId="0" fillId="2" borderId="0" xfId="0" applyFill="1" applyAlignment="1">
      <alignment vertical="top" wrapText="1"/>
    </xf>
    <xf numFmtId="0" fontId="5" fillId="4" borderId="3" xfId="0" applyFont="1" applyFill="1" applyBorder="1" applyAlignment="1">
      <alignment vertical="top" wrapText="1"/>
    </xf>
    <xf numFmtId="0" fontId="9" fillId="0" borderId="0" xfId="0" applyFont="1" applyFill="1" applyAlignment="1">
      <alignment horizontal="left"/>
    </xf>
    <xf numFmtId="0" fontId="9" fillId="0" borderId="0" xfId="0" applyFont="1" applyFill="1"/>
    <xf numFmtId="0" fontId="5" fillId="2" borderId="0" xfId="0" applyFont="1" applyFill="1" applyAlignment="1">
      <alignment vertical="top" wrapText="1"/>
    </xf>
    <xf numFmtId="0" fontId="5" fillId="2" borderId="2" xfId="0" applyFont="1" applyFill="1" applyBorder="1" applyAlignment="1">
      <alignment horizontal="left" vertical="top" wrapText="1"/>
    </xf>
    <xf numFmtId="0" fontId="5" fillId="2" borderId="4" xfId="0" applyFont="1" applyFill="1" applyBorder="1" applyAlignment="1">
      <alignment horizontal="left" vertical="top" wrapText="1"/>
    </xf>
    <xf numFmtId="0" fontId="5" fillId="4" borderId="2" xfId="0" applyFont="1" applyFill="1" applyBorder="1" applyAlignment="1">
      <alignment vertical="top"/>
    </xf>
    <xf numFmtId="0" fontId="11" fillId="2" borderId="4" xfId="0" applyFont="1" applyFill="1" applyBorder="1" applyAlignment="1">
      <alignment horizontal="center" vertical="top" wrapText="1"/>
    </xf>
    <xf numFmtId="0" fontId="15" fillId="0" borderId="0" xfId="0" applyFont="1" applyFill="1" applyAlignment="1">
      <alignment horizontal="right"/>
    </xf>
    <xf numFmtId="0" fontId="15" fillId="0" borderId="0" xfId="0" applyFont="1" applyFill="1" applyBorder="1"/>
    <xf numFmtId="0" fontId="14" fillId="0" borderId="0" xfId="0" applyFont="1" applyFill="1"/>
    <xf numFmtId="0" fontId="16" fillId="0" borderId="0" xfId="0" applyFont="1" applyFill="1" applyAlignment="1"/>
    <xf numFmtId="0" fontId="0" fillId="0" borderId="0" xfId="0" applyFill="1" applyAlignment="1">
      <alignment vertical="top"/>
    </xf>
    <xf numFmtId="164" fontId="5" fillId="2" borderId="5" xfId="0" applyNumberFormat="1" applyFont="1" applyFill="1" applyBorder="1" applyAlignment="1">
      <alignment horizontal="right" vertical="top" wrapText="1"/>
    </xf>
    <xf numFmtId="0" fontId="5" fillId="2" borderId="10" xfId="0" applyFont="1" applyFill="1" applyBorder="1" applyAlignment="1">
      <alignment horizontal="left" vertical="top" wrapText="1"/>
    </xf>
    <xf numFmtId="164" fontId="5" fillId="2" borderId="11" xfId="0" applyNumberFormat="1" applyFont="1" applyFill="1" applyBorder="1" applyAlignment="1">
      <alignment horizontal="right" vertical="top" wrapText="1"/>
    </xf>
    <xf numFmtId="0" fontId="6" fillId="2" borderId="4" xfId="0" applyFont="1" applyFill="1" applyBorder="1" applyAlignment="1">
      <alignment vertical="top" wrapText="1"/>
    </xf>
    <xf numFmtId="0" fontId="6" fillId="0" borderId="1" xfId="0" applyFont="1" applyBorder="1" applyAlignment="1">
      <alignment vertical="top" wrapText="1"/>
    </xf>
    <xf numFmtId="0" fontId="6" fillId="2" borderId="4" xfId="0" applyFont="1" applyFill="1" applyBorder="1" applyAlignment="1">
      <alignment horizontal="center" vertical="top" wrapText="1"/>
    </xf>
    <xf numFmtId="0" fontId="2" fillId="0" borderId="0" xfId="0" applyFont="1" applyFill="1" applyBorder="1" applyAlignment="1">
      <alignment horizontal="left" vertical="top" wrapText="1"/>
    </xf>
    <xf numFmtId="0" fontId="5" fillId="5" borderId="3" xfId="0" applyFont="1" applyFill="1" applyBorder="1" applyAlignment="1">
      <alignment horizontal="center" vertical="center" wrapText="1"/>
    </xf>
    <xf numFmtId="0" fontId="7" fillId="0" borderId="1" xfId="0" applyFont="1" applyBorder="1" applyAlignment="1">
      <alignment horizontal="left" vertical="top" wrapText="1"/>
    </xf>
    <xf numFmtId="0" fontId="12" fillId="2" borderId="4" xfId="0" applyFont="1" applyFill="1" applyBorder="1" applyAlignment="1">
      <alignment horizontal="center" vertical="top" wrapText="1"/>
    </xf>
    <xf numFmtId="0" fontId="6" fillId="0" borderId="1" xfId="0" applyFont="1" applyBorder="1" applyAlignment="1">
      <alignment horizontal="left" vertical="top" wrapText="1"/>
    </xf>
    <xf numFmtId="49" fontId="0" fillId="0" borderId="0" xfId="0" applyNumberFormat="1" applyAlignment="1">
      <alignment vertical="top"/>
    </xf>
    <xf numFmtId="49" fontId="6" fillId="2" borderId="1" xfId="0" applyNumberFormat="1" applyFont="1" applyFill="1" applyBorder="1" applyAlignment="1">
      <alignment vertical="top" wrapText="1"/>
    </xf>
    <xf numFmtId="0" fontId="5" fillId="5" borderId="14" xfId="0" applyFont="1" applyFill="1" applyBorder="1" applyAlignment="1">
      <alignment horizontal="center" vertical="center" wrapText="1"/>
    </xf>
    <xf numFmtId="49" fontId="0" fillId="0" borderId="1" xfId="0" applyNumberFormat="1" applyBorder="1" applyAlignment="1">
      <alignment vertical="top"/>
    </xf>
    <xf numFmtId="0" fontId="24" fillId="12" borderId="1" xfId="0" applyFont="1" applyFill="1" applyBorder="1" applyAlignment="1">
      <alignment horizontal="center"/>
    </xf>
    <xf numFmtId="0" fontId="6" fillId="0" borderId="0" xfId="0" applyFont="1" applyAlignment="1">
      <alignment wrapText="1"/>
    </xf>
    <xf numFmtId="0" fontId="6" fillId="0" borderId="0" xfId="0" applyFont="1" applyBorder="1" applyAlignment="1">
      <alignment wrapText="1"/>
    </xf>
    <xf numFmtId="0" fontId="24" fillId="12" borderId="1" xfId="0" applyFont="1" applyFill="1" applyBorder="1" applyAlignment="1">
      <alignment horizontal="center" vertical="top"/>
    </xf>
    <xf numFmtId="0" fontId="6" fillId="0" borderId="1" xfId="0" applyFont="1" applyFill="1" applyBorder="1" applyAlignment="1">
      <alignment horizontal="left" vertical="center" wrapText="1"/>
    </xf>
    <xf numFmtId="0" fontId="0" fillId="0" borderId="1" xfId="0" applyBorder="1" applyAlignment="1">
      <alignment horizontal="center" vertical="center"/>
    </xf>
    <xf numFmtId="0" fontId="6" fillId="2" borderId="1" xfId="0" applyFont="1" applyFill="1" applyBorder="1" applyAlignment="1">
      <alignment horizontal="center" vertical="center" wrapText="1"/>
    </xf>
    <xf numFmtId="0" fontId="5" fillId="5" borderId="1" xfId="0" applyFont="1" applyFill="1" applyBorder="1" applyAlignment="1">
      <alignment horizontal="left" vertical="center" wrapText="1"/>
    </xf>
    <xf numFmtId="49" fontId="0" fillId="0" borderId="1" xfId="0" applyNumberFormat="1" applyBorder="1" applyAlignment="1">
      <alignment horizontal="left" vertical="top" wrapText="1"/>
    </xf>
    <xf numFmtId="49" fontId="6" fillId="0" borderId="1" xfId="0" applyNumberFormat="1" applyFont="1" applyBorder="1" applyAlignment="1">
      <alignment horizontal="left" vertical="top" wrapText="1"/>
    </xf>
    <xf numFmtId="0" fontId="6" fillId="15" borderId="4" xfId="0" applyFont="1" applyFill="1" applyBorder="1" applyAlignment="1">
      <alignment vertical="top" wrapText="1"/>
    </xf>
    <xf numFmtId="0" fontId="6" fillId="0" borderId="1" xfId="0" applyFont="1" applyBorder="1" applyAlignment="1">
      <alignment wrapText="1"/>
    </xf>
    <xf numFmtId="49" fontId="7" fillId="2" borderId="4" xfId="0" applyNumberFormat="1" applyFont="1" applyFill="1" applyBorder="1" applyAlignment="1">
      <alignment horizontal="center" vertical="top" wrapText="1"/>
    </xf>
    <xf numFmtId="0" fontId="27" fillId="0" borderId="0" xfId="0" applyFont="1" applyAlignment="1">
      <alignment horizontal="center" vertical="center"/>
    </xf>
    <xf numFmtId="49" fontId="6" fillId="0" borderId="1" xfId="0" applyNumberFormat="1" applyFont="1" applyBorder="1" applyAlignment="1">
      <alignment vertical="top"/>
    </xf>
    <xf numFmtId="0" fontId="30" fillId="0" borderId="1" xfId="2" applyBorder="1" applyAlignment="1" applyProtection="1">
      <alignment wrapText="1"/>
    </xf>
    <xf numFmtId="0" fontId="0" fillId="0" borderId="0" xfId="0" applyAlignment="1">
      <alignment horizontal="center" vertical="center"/>
    </xf>
    <xf numFmtId="0" fontId="0" fillId="0" borderId="0" xfId="0" applyBorder="1" applyAlignment="1">
      <alignment vertical="top" wrapText="1"/>
    </xf>
    <xf numFmtId="0" fontId="5" fillId="18" borderId="0" xfId="0" applyFont="1" applyFill="1" applyAlignment="1">
      <alignment horizontal="center" vertical="center" wrapText="1"/>
    </xf>
    <xf numFmtId="0" fontId="5" fillId="20" borderId="0" xfId="0" applyFont="1" applyFill="1" applyAlignment="1">
      <alignment horizontal="center" vertical="center" wrapText="1"/>
    </xf>
    <xf numFmtId="0" fontId="6" fillId="2" borderId="0" xfId="0" applyFont="1" applyFill="1" applyAlignment="1">
      <alignment horizontal="right" vertical="top" wrapText="1"/>
    </xf>
    <xf numFmtId="0" fontId="0" fillId="0" borderId="0" xfId="0" applyAlignment="1">
      <alignment horizontal="left" vertical="top" wrapText="1"/>
    </xf>
    <xf numFmtId="0" fontId="5" fillId="4" borderId="9" xfId="0" applyFont="1" applyFill="1" applyBorder="1" applyAlignment="1">
      <alignment horizontal="left" vertical="top" wrapText="1"/>
    </xf>
    <xf numFmtId="0" fontId="5" fillId="22" borderId="1" xfId="0" applyFont="1" applyFill="1" applyBorder="1" applyAlignment="1">
      <alignment horizontal="center" vertical="center"/>
    </xf>
    <xf numFmtId="49" fontId="24" fillId="12" borderId="1" xfId="0" applyNumberFormat="1" applyFont="1" applyFill="1" applyBorder="1" applyAlignment="1">
      <alignment horizontal="center" vertical="top"/>
    </xf>
    <xf numFmtId="0" fontId="13" fillId="0" borderId="1" xfId="0" applyFont="1" applyBorder="1" applyAlignment="1">
      <alignment horizontal="left" wrapText="1"/>
    </xf>
    <xf numFmtId="0" fontId="27" fillId="0" borderId="0" xfId="0" applyFont="1"/>
    <xf numFmtId="0" fontId="0" fillId="0" borderId="0" xfId="0" applyAlignment="1">
      <alignment horizontal="center"/>
    </xf>
    <xf numFmtId="0" fontId="26" fillId="24" borderId="1" xfId="0" applyFont="1" applyFill="1" applyBorder="1" applyAlignment="1">
      <alignment horizontal="center" vertical="center"/>
    </xf>
    <xf numFmtId="0" fontId="26" fillId="24" borderId="1" xfId="0" applyFont="1" applyFill="1" applyBorder="1" applyAlignment="1">
      <alignment vertical="center" wrapText="1"/>
    </xf>
    <xf numFmtId="0" fontId="6" fillId="0" borderId="1" xfId="0" applyFont="1" applyBorder="1" applyAlignment="1">
      <alignment horizont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6" fillId="2" borderId="0" xfId="0" applyFont="1" applyFill="1" applyAlignment="1">
      <alignment vertical="top" wrapText="1"/>
    </xf>
    <xf numFmtId="0" fontId="0" fillId="0" borderId="1" xfId="0" applyBorder="1" applyAlignment="1">
      <alignment horizontal="center" vertical="top" wrapText="1"/>
    </xf>
    <xf numFmtId="0" fontId="6" fillId="0" borderId="1" xfId="0" applyFont="1" applyBorder="1" applyAlignment="1">
      <alignment horizontal="center" vertical="top" wrapText="1"/>
    </xf>
    <xf numFmtId="0" fontId="0" fillId="0" borderId="0" xfId="0" applyFill="1" applyProtection="1"/>
    <xf numFmtId="0" fontId="0" fillId="0" borderId="0" xfId="0" applyProtection="1"/>
    <xf numFmtId="0" fontId="17" fillId="4" borderId="1" xfId="0" applyFont="1" applyFill="1" applyBorder="1" applyAlignment="1" applyProtection="1">
      <alignment horizontal="center" wrapText="1"/>
    </xf>
    <xf numFmtId="0" fontId="6" fillId="0" borderId="0" xfId="0" applyFont="1" applyFill="1" applyProtection="1"/>
    <xf numFmtId="0" fontId="6" fillId="0" borderId="0" xfId="0" applyFont="1" applyFill="1" applyBorder="1" applyProtection="1"/>
    <xf numFmtId="0" fontId="34" fillId="16" borderId="30" xfId="0" applyFont="1" applyFill="1" applyBorder="1" applyAlignment="1" applyProtection="1">
      <alignment horizontal="right" vertical="center" wrapText="1"/>
    </xf>
    <xf numFmtId="49" fontId="37" fillId="22" borderId="35" xfId="0" applyNumberFormat="1" applyFont="1" applyFill="1" applyBorder="1" applyAlignment="1" applyProtection="1">
      <alignment horizontal="center" vertical="center" wrapText="1"/>
    </xf>
    <xf numFmtId="0" fontId="37" fillId="22" borderId="35" xfId="0" applyNumberFormat="1" applyFont="1" applyFill="1" applyBorder="1" applyAlignment="1" applyProtection="1">
      <alignment horizontal="center" vertical="center" wrapText="1"/>
    </xf>
    <xf numFmtId="0" fontId="5" fillId="0" borderId="0" xfId="0" applyFont="1" applyFill="1" applyAlignment="1">
      <alignment horizontal="center" vertical="center" wrapText="1"/>
    </xf>
    <xf numFmtId="0" fontId="0" fillId="0" borderId="0" xfId="0" applyBorder="1"/>
    <xf numFmtId="0" fontId="16" fillId="20" borderId="1" xfId="0" applyFont="1" applyFill="1" applyBorder="1" applyAlignment="1" applyProtection="1">
      <alignment horizontal="center" vertical="center"/>
    </xf>
    <xf numFmtId="0" fontId="16" fillId="18" borderId="1" xfId="0" applyFont="1" applyFill="1" applyBorder="1" applyAlignment="1" applyProtection="1">
      <alignment horizontal="center" vertical="center"/>
    </xf>
    <xf numFmtId="0" fontId="16" fillId="21" borderId="1" xfId="0" applyFont="1" applyFill="1" applyBorder="1" applyAlignment="1" applyProtection="1">
      <alignment horizontal="center" vertical="center"/>
    </xf>
    <xf numFmtId="0" fontId="41" fillId="29" borderId="13" xfId="0" applyFont="1" applyFill="1" applyBorder="1" applyAlignment="1" applyProtection="1">
      <alignment horizontal="center" vertical="top"/>
      <protection locked="0"/>
    </xf>
    <xf numFmtId="0" fontId="9" fillId="0" borderId="0" xfId="0" applyFont="1" applyFill="1" applyBorder="1" applyAlignment="1" applyProtection="1"/>
    <xf numFmtId="0" fontId="5" fillId="2" borderId="0" xfId="0" applyFont="1" applyFill="1" applyAlignment="1">
      <alignment horizontal="center" vertical="top"/>
    </xf>
    <xf numFmtId="0" fontId="5" fillId="0" borderId="0" xfId="0" applyFont="1" applyAlignment="1">
      <alignment horizontal="center"/>
    </xf>
    <xf numFmtId="0" fontId="41" fillId="31" borderId="1" xfId="0" applyFont="1" applyFill="1" applyBorder="1" applyAlignment="1">
      <alignment horizontal="center" vertical="center" wrapText="1"/>
    </xf>
    <xf numFmtId="0" fontId="42" fillId="31" borderId="4" xfId="0" applyFont="1" applyFill="1" applyBorder="1" applyAlignment="1">
      <alignment horizontal="center" vertical="top" wrapText="1"/>
    </xf>
    <xf numFmtId="0" fontId="40" fillId="30" borderId="1" xfId="0" applyFont="1" applyFill="1" applyBorder="1" applyAlignment="1">
      <alignment horizontal="center" vertical="center" wrapText="1"/>
    </xf>
    <xf numFmtId="0" fontId="0" fillId="0" borderId="1" xfId="0" applyFill="1" applyBorder="1" applyAlignment="1">
      <alignment horizontal="center" vertical="center"/>
    </xf>
    <xf numFmtId="0" fontId="6" fillId="0" borderId="1" xfId="0" applyFont="1" applyBorder="1" applyAlignment="1">
      <alignment horizontal="center" vertical="center"/>
    </xf>
    <xf numFmtId="0" fontId="41" fillId="31" borderId="4" xfId="0" applyFont="1" applyFill="1" applyBorder="1" applyAlignment="1">
      <alignment vertical="top" wrapText="1"/>
    </xf>
    <xf numFmtId="0" fontId="41" fillId="31" borderId="13" xfId="0" applyFont="1" applyFill="1" applyBorder="1" applyAlignment="1">
      <alignment vertical="top" wrapText="1"/>
    </xf>
    <xf numFmtId="49" fontId="42" fillId="31" borderId="1" xfId="0" applyNumberFormat="1" applyFont="1" applyFill="1" applyBorder="1" applyAlignment="1">
      <alignment horizontal="left" vertical="top"/>
    </xf>
    <xf numFmtId="0" fontId="42" fillId="31" borderId="4" xfId="0" applyFont="1" applyFill="1" applyBorder="1" applyAlignment="1">
      <alignment vertical="top" wrapText="1"/>
    </xf>
    <xf numFmtId="0" fontId="41" fillId="31" borderId="4" xfId="0" applyFont="1" applyFill="1" applyBorder="1" applyAlignment="1">
      <alignment horizontal="center" vertical="top" wrapText="1"/>
    </xf>
    <xf numFmtId="0" fontId="0" fillId="0" borderId="0" xfId="0" applyFill="1" applyBorder="1" applyAlignment="1">
      <alignment horizontal="center" vertical="center"/>
    </xf>
    <xf numFmtId="49" fontId="0" fillId="29" borderId="1" xfId="0" applyNumberFormat="1" applyFill="1" applyBorder="1" applyAlignment="1" applyProtection="1">
      <alignment horizontal="center" vertical="center"/>
      <protection locked="0"/>
    </xf>
    <xf numFmtId="0" fontId="0" fillId="29" borderId="1" xfId="0" applyFill="1" applyBorder="1" applyAlignment="1" applyProtection="1">
      <alignment horizontal="center" vertical="center"/>
      <protection locked="0"/>
    </xf>
    <xf numFmtId="0" fontId="0" fillId="13" borderId="1" xfId="0" applyFill="1" applyBorder="1" applyAlignment="1" applyProtection="1">
      <alignment vertical="top"/>
      <protection locked="0"/>
    </xf>
    <xf numFmtId="49" fontId="13" fillId="8" borderId="1" xfId="0" applyNumberFormat="1" applyFont="1" applyFill="1" applyBorder="1" applyAlignment="1" applyProtection="1">
      <alignment horizontal="left" vertical="top" wrapText="1"/>
      <protection locked="0"/>
    </xf>
    <xf numFmtId="0" fontId="0" fillId="13" borderId="1" xfId="0" applyFill="1" applyBorder="1" applyProtection="1">
      <protection locked="0"/>
    </xf>
    <xf numFmtId="0" fontId="13" fillId="0" borderId="1" xfId="0" applyFont="1" applyFill="1" applyBorder="1" applyAlignment="1" applyProtection="1">
      <alignment horizontal="left" wrapText="1"/>
      <protection locked="0"/>
    </xf>
    <xf numFmtId="0" fontId="13" fillId="0" borderId="1" xfId="0" applyFont="1" applyFill="1" applyBorder="1" applyAlignment="1" applyProtection="1">
      <alignment horizontal="left" vertical="top" wrapText="1"/>
      <protection locked="0"/>
    </xf>
    <xf numFmtId="0" fontId="13" fillId="2" borderId="1" xfId="0" applyFont="1" applyFill="1" applyBorder="1" applyAlignment="1" applyProtection="1">
      <alignment vertical="top" wrapText="1"/>
      <protection locked="0"/>
    </xf>
    <xf numFmtId="0" fontId="13" fillId="0" borderId="1" xfId="0" applyFont="1" applyFill="1" applyBorder="1" applyAlignment="1" applyProtection="1">
      <alignment vertical="top" wrapText="1"/>
      <protection locked="0"/>
    </xf>
    <xf numFmtId="0" fontId="6" fillId="29" borderId="1" xfId="0" applyFont="1" applyFill="1" applyBorder="1" applyAlignment="1" applyProtection="1">
      <alignment horizontal="center" vertical="center"/>
      <protection locked="0"/>
    </xf>
    <xf numFmtId="0" fontId="0" fillId="13" borderId="1" xfId="0" applyFill="1" applyBorder="1" applyAlignment="1" applyProtection="1">
      <alignment vertical="top" wrapText="1"/>
      <protection locked="0"/>
    </xf>
    <xf numFmtId="0" fontId="0" fillId="0" borderId="0" xfId="0" applyAlignment="1" applyProtection="1">
      <alignment horizontal="left" vertical="top" wrapText="1"/>
      <protection locked="0"/>
    </xf>
    <xf numFmtId="0" fontId="0" fillId="13" borderId="21" xfId="0" applyFill="1" applyBorder="1" applyAlignment="1" applyProtection="1">
      <alignment vertical="top"/>
      <protection locked="0"/>
    </xf>
    <xf numFmtId="0" fontId="0" fillId="13" borderId="21" xfId="0" applyFill="1" applyBorder="1" applyAlignment="1" applyProtection="1">
      <alignment vertical="top" wrapText="1"/>
      <protection locked="0"/>
    </xf>
    <xf numFmtId="0" fontId="0" fillId="0" borderId="4" xfId="0" applyBorder="1" applyProtection="1">
      <protection locked="0"/>
    </xf>
    <xf numFmtId="0" fontId="0" fillId="13" borderId="4" xfId="0" applyFill="1" applyBorder="1" applyProtection="1">
      <protection locked="0"/>
    </xf>
    <xf numFmtId="0" fontId="5" fillId="5" borderId="2"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0" fillId="0" borderId="0" xfId="0" applyBorder="1" applyProtection="1"/>
    <xf numFmtId="0" fontId="27" fillId="30" borderId="1" xfId="0" applyFont="1" applyFill="1" applyBorder="1"/>
    <xf numFmtId="2" fontId="26" fillId="14" borderId="13" xfId="0" applyNumberFormat="1" applyFont="1" applyFill="1" applyBorder="1" applyAlignment="1">
      <alignment horizontal="right"/>
    </xf>
    <xf numFmtId="0" fontId="27" fillId="0" borderId="0" xfId="0" applyFont="1" applyBorder="1"/>
    <xf numFmtId="0" fontId="35" fillId="19" borderId="1" xfId="0" applyFont="1" applyFill="1" applyBorder="1" applyAlignment="1" applyProtection="1">
      <alignment horizontal="center" vertical="center" wrapText="1"/>
    </xf>
    <xf numFmtId="0" fontId="36" fillId="16" borderId="29" xfId="0" applyFont="1" applyFill="1" applyBorder="1" applyAlignment="1" applyProtection="1">
      <alignment horizontal="right" vertical="center" wrapText="1"/>
    </xf>
    <xf numFmtId="0" fontId="36" fillId="16" borderId="1" xfId="0" applyFont="1" applyFill="1" applyBorder="1" applyAlignment="1" applyProtection="1">
      <alignment horizontal="right" vertical="center" wrapText="1"/>
    </xf>
    <xf numFmtId="0" fontId="36" fillId="16" borderId="0" xfId="0" applyFont="1" applyFill="1" applyBorder="1" applyAlignment="1" applyProtection="1">
      <alignment vertical="center"/>
    </xf>
    <xf numFmtId="0" fontId="34" fillId="16" borderId="42" xfId="0" applyFont="1" applyFill="1" applyBorder="1" applyAlignment="1" applyProtection="1">
      <alignment horizontal="right" vertical="center"/>
    </xf>
    <xf numFmtId="0" fontId="37" fillId="16" borderId="42" xfId="0" applyFont="1" applyFill="1" applyBorder="1" applyAlignment="1" applyProtection="1">
      <alignment horizontal="center" vertical="center"/>
    </xf>
    <xf numFmtId="0" fontId="0" fillId="2" borderId="0" xfId="0" applyFill="1" applyAlignment="1">
      <alignment vertical="center"/>
    </xf>
    <xf numFmtId="0" fontId="6" fillId="0" borderId="0" xfId="0" applyFont="1" applyFill="1" applyAlignment="1" applyProtection="1">
      <alignment vertical="top"/>
    </xf>
    <xf numFmtId="0" fontId="6" fillId="0" borderId="0" xfId="0" applyFont="1" applyFill="1" applyAlignment="1">
      <alignment vertical="top"/>
    </xf>
    <xf numFmtId="0" fontId="0" fillId="0" borderId="0" xfId="0" applyAlignment="1" applyProtection="1">
      <alignment horizontal="center" vertical="center"/>
      <protection locked="0"/>
    </xf>
    <xf numFmtId="0" fontId="0" fillId="0" borderId="19" xfId="0" applyBorder="1" applyAlignment="1" applyProtection="1">
      <alignment vertical="top"/>
      <protection locked="0"/>
    </xf>
    <xf numFmtId="0" fontId="26" fillId="30" borderId="13" xfId="0" applyFont="1" applyFill="1" applyBorder="1" applyAlignment="1">
      <alignment horizontal="right"/>
    </xf>
    <xf numFmtId="0" fontId="0" fillId="0" borderId="1" xfId="0" applyBorder="1" applyAlignment="1">
      <alignment horizontal="center" vertical="top"/>
    </xf>
    <xf numFmtId="0" fontId="14" fillId="27" borderId="1" xfId="0" applyFont="1" applyFill="1" applyBorder="1" applyAlignment="1" applyProtection="1">
      <alignment vertical="top"/>
      <protection locked="0"/>
    </xf>
    <xf numFmtId="14" fontId="14" fillId="27" borderId="13" xfId="0" applyNumberFormat="1" applyFont="1" applyFill="1" applyBorder="1" applyAlignment="1" applyProtection="1">
      <alignment horizontal="left" vertical="top" wrapText="1"/>
      <protection locked="0"/>
    </xf>
    <xf numFmtId="0" fontId="17" fillId="4" borderId="13" xfId="0" applyFont="1" applyFill="1" applyBorder="1" applyAlignment="1" applyProtection="1">
      <alignment horizontal="center" wrapText="1"/>
    </xf>
    <xf numFmtId="0" fontId="17" fillId="4" borderId="21" xfId="0" applyFont="1" applyFill="1" applyBorder="1" applyAlignment="1" applyProtection="1">
      <alignment horizontal="center" wrapText="1"/>
    </xf>
    <xf numFmtId="0" fontId="16" fillId="7" borderId="1" xfId="0" applyFont="1" applyFill="1" applyBorder="1" applyAlignment="1" applyProtection="1">
      <alignment horizontal="center" vertical="center"/>
      <protection locked="0"/>
    </xf>
    <xf numFmtId="0" fontId="16" fillId="7" borderId="13" xfId="0" applyFont="1" applyFill="1" applyBorder="1" applyAlignment="1" applyProtection="1">
      <alignment horizontal="left" vertical="center"/>
      <protection locked="0"/>
    </xf>
    <xf numFmtId="167" fontId="16" fillId="7" borderId="1" xfId="0" applyNumberFormat="1" applyFont="1" applyFill="1" applyBorder="1" applyAlignment="1" applyProtection="1">
      <alignment vertical="center"/>
      <protection locked="0"/>
    </xf>
    <xf numFmtId="0" fontId="16" fillId="23" borderId="1" xfId="0" applyFont="1" applyFill="1" applyBorder="1" applyAlignment="1" applyProtection="1">
      <alignment horizontal="center" vertical="center"/>
      <protection locked="0"/>
    </xf>
    <xf numFmtId="0" fontId="46" fillId="23" borderId="1" xfId="0" applyFont="1" applyFill="1" applyBorder="1" applyAlignment="1" applyProtection="1">
      <alignment horizontal="center" vertical="center" wrapText="1"/>
      <protection locked="0"/>
    </xf>
    <xf numFmtId="0" fontId="31" fillId="23" borderId="28" xfId="0" applyFont="1" applyFill="1" applyBorder="1" applyAlignment="1" applyProtection="1">
      <alignment horizontal="center" vertical="center"/>
      <protection locked="0"/>
    </xf>
    <xf numFmtId="0" fontId="47" fillId="0" borderId="0" xfId="0" applyFont="1"/>
    <xf numFmtId="0" fontId="47" fillId="0" borderId="0" xfId="0" applyFont="1" applyFill="1" applyAlignment="1">
      <alignment vertical="top"/>
    </xf>
    <xf numFmtId="0" fontId="47" fillId="0" borderId="0" xfId="0" applyFont="1" applyFill="1"/>
    <xf numFmtId="0" fontId="48" fillId="19" borderId="28" xfId="0" applyFont="1" applyFill="1" applyBorder="1" applyAlignment="1" applyProtection="1">
      <alignment horizontal="center"/>
    </xf>
    <xf numFmtId="0" fontId="49" fillId="0" borderId="0" xfId="0" applyFont="1" applyFill="1" applyProtection="1"/>
    <xf numFmtId="0" fontId="49" fillId="0" borderId="0" xfId="0" applyFont="1" applyFill="1"/>
    <xf numFmtId="0" fontId="50" fillId="19" borderId="1" xfId="0" applyFont="1" applyFill="1" applyBorder="1" applyAlignment="1" applyProtection="1">
      <alignment horizontal="center"/>
    </xf>
    <xf numFmtId="0" fontId="49" fillId="0" borderId="0" xfId="0" applyFont="1"/>
    <xf numFmtId="0" fontId="49" fillId="0" borderId="0" xfId="0" applyFont="1" applyBorder="1"/>
    <xf numFmtId="0" fontId="50" fillId="26" borderId="13" xfId="0" applyFont="1" applyFill="1" applyBorder="1" applyAlignment="1">
      <alignment horizontal="center"/>
    </xf>
    <xf numFmtId="0" fontId="6" fillId="0" borderId="0" xfId="0" applyFont="1"/>
    <xf numFmtId="0" fontId="6" fillId="0" borderId="0" xfId="0" applyFont="1" applyFill="1" applyBorder="1" applyAlignment="1">
      <alignment vertical="top"/>
    </xf>
    <xf numFmtId="49" fontId="0" fillId="0" borderId="0" xfId="0" applyNumberFormat="1"/>
    <xf numFmtId="49" fontId="6" fillId="0" borderId="0" xfId="0" applyNumberFormat="1" applyFont="1"/>
    <xf numFmtId="0" fontId="6" fillId="0" borderId="0" xfId="0" applyFont="1" applyFill="1"/>
    <xf numFmtId="0" fontId="6" fillId="0" borderId="0" xfId="0" applyFont="1" applyFill="1" applyAlignment="1">
      <alignment horizontal="left" vertical="top"/>
    </xf>
    <xf numFmtId="49" fontId="6" fillId="0" borderId="0" xfId="0" quotePrefix="1" applyNumberFormat="1" applyFont="1"/>
    <xf numFmtId="0" fontId="6" fillId="0" borderId="0" xfId="0" applyFont="1" applyFill="1" applyAlignment="1">
      <alignment vertical="top" wrapText="1"/>
    </xf>
    <xf numFmtId="0" fontId="0" fillId="0" borderId="0" xfId="0" applyFill="1" applyAlignment="1">
      <alignment vertical="top" wrapText="1"/>
    </xf>
    <xf numFmtId="0" fontId="14" fillId="0" borderId="0" xfId="0" applyFont="1" applyFill="1" applyAlignment="1">
      <alignment vertical="top" wrapText="1"/>
    </xf>
    <xf numFmtId="0" fontId="16" fillId="0" borderId="0" xfId="0" applyFont="1" applyFill="1" applyAlignment="1">
      <alignment vertical="top" wrapText="1"/>
    </xf>
    <xf numFmtId="0" fontId="49" fillId="0" borderId="0" xfId="0" applyFont="1" applyFill="1" applyAlignment="1">
      <alignment vertical="top" wrapText="1"/>
    </xf>
    <xf numFmtId="0" fontId="47" fillId="0" borderId="0" xfId="0" applyFont="1" applyFill="1" applyAlignment="1">
      <alignment vertical="top" wrapText="1"/>
    </xf>
    <xf numFmtId="0" fontId="39" fillId="0" borderId="0" xfId="0" applyFont="1" applyBorder="1" applyAlignment="1">
      <alignment vertical="center"/>
    </xf>
    <xf numFmtId="0" fontId="6" fillId="2" borderId="0" xfId="0" applyFont="1" applyFill="1" applyBorder="1" applyAlignment="1">
      <alignment vertical="center"/>
    </xf>
    <xf numFmtId="49" fontId="6" fillId="0" borderId="0" xfId="0" applyNumberFormat="1" applyFont="1" applyFill="1"/>
    <xf numFmtId="0" fontId="0" fillId="0" borderId="1" xfId="0" applyBorder="1" applyAlignment="1">
      <alignment horizontal="center" vertical="center"/>
    </xf>
    <xf numFmtId="0" fontId="0" fillId="2" borderId="0" xfId="0" applyFill="1" applyAlignment="1"/>
    <xf numFmtId="0" fontId="6" fillId="0" borderId="0" xfId="0" applyFont="1" applyFill="1" applyBorder="1" applyAlignment="1" applyProtection="1">
      <alignment horizontal="center" vertical="center"/>
      <protection locked="0"/>
    </xf>
    <xf numFmtId="0" fontId="21" fillId="0" borderId="0" xfId="1" applyFont="1" applyFill="1" applyBorder="1" applyAlignment="1" applyProtection="1">
      <alignment horizontal="left" vertical="top" wrapText="1"/>
      <protection locked="0"/>
    </xf>
    <xf numFmtId="0" fontId="6" fillId="0" borderId="0" xfId="0" applyFont="1" applyFill="1" applyBorder="1" applyAlignment="1" applyProtection="1">
      <alignment horizontal="left" vertical="top" wrapText="1"/>
      <protection locked="0"/>
    </xf>
    <xf numFmtId="0" fontId="42" fillId="31" borderId="1" xfId="0" applyFont="1" applyFill="1" applyBorder="1" applyAlignment="1">
      <alignment horizontal="center" vertical="top" wrapText="1"/>
    </xf>
    <xf numFmtId="0" fontId="6" fillId="2" borderId="1" xfId="0" applyFont="1" applyFill="1" applyBorder="1" applyAlignment="1">
      <alignment horizontal="center" vertical="top" wrapText="1"/>
    </xf>
    <xf numFmtId="0" fontId="16" fillId="23" borderId="21" xfId="0" applyFont="1" applyFill="1" applyBorder="1" applyAlignment="1" applyProtection="1">
      <alignment horizontal="center" vertical="center"/>
      <protection locked="0"/>
    </xf>
    <xf numFmtId="0" fontId="35" fillId="28" borderId="1" xfId="0" applyFont="1" applyFill="1" applyBorder="1" applyAlignment="1" applyProtection="1">
      <alignment horizontal="center" vertical="center" wrapText="1"/>
    </xf>
    <xf numFmtId="0" fontId="34" fillId="19" borderId="1" xfId="0" applyFont="1" applyFill="1" applyBorder="1" applyAlignment="1" applyProtection="1">
      <alignment horizontal="left" vertical="center" wrapText="1"/>
    </xf>
    <xf numFmtId="0" fontId="14" fillId="16" borderId="1" xfId="0" applyFont="1" applyFill="1" applyBorder="1" applyAlignment="1" applyProtection="1">
      <alignment vertical="top"/>
      <protection locked="0"/>
    </xf>
    <xf numFmtId="0" fontId="55" fillId="0" borderId="0" xfId="0" applyFont="1" applyBorder="1" applyProtection="1">
      <protection locked="0"/>
    </xf>
    <xf numFmtId="0" fontId="35" fillId="28" borderId="5" xfId="0" applyFont="1" applyFill="1" applyBorder="1" applyAlignment="1" applyProtection="1">
      <alignment horizontal="center" vertical="center" wrapText="1"/>
    </xf>
    <xf numFmtId="0" fontId="34" fillId="19" borderId="12" xfId="0" applyFont="1" applyFill="1" applyBorder="1" applyAlignment="1" applyProtection="1">
      <alignment vertical="center" wrapText="1"/>
    </xf>
    <xf numFmtId="166" fontId="45" fillId="19" borderId="5" xfId="0" applyNumberFormat="1" applyFont="1" applyFill="1" applyBorder="1" applyAlignment="1">
      <alignment wrapText="1"/>
    </xf>
    <xf numFmtId="0" fontId="34" fillId="19" borderId="49" xfId="0" applyFont="1" applyFill="1" applyBorder="1" applyAlignment="1" applyProtection="1">
      <alignment vertical="center" wrapText="1"/>
    </xf>
    <xf numFmtId="0" fontId="34" fillId="19" borderId="17" xfId="0" applyFont="1" applyFill="1" applyBorder="1" applyAlignment="1" applyProtection="1">
      <alignment horizontal="left" vertical="center" wrapText="1"/>
    </xf>
    <xf numFmtId="166" fontId="45" fillId="19" borderId="26" xfId="0" applyNumberFormat="1" applyFont="1" applyFill="1" applyBorder="1" applyAlignment="1">
      <alignment wrapText="1"/>
    </xf>
    <xf numFmtId="0" fontId="5" fillId="0" borderId="0" xfId="0" applyFont="1"/>
    <xf numFmtId="0" fontId="5" fillId="14" borderId="25" xfId="0" applyFont="1" applyFill="1" applyBorder="1" applyAlignment="1">
      <alignment horizontal="center" vertical="center"/>
    </xf>
    <xf numFmtId="0" fontId="53" fillId="0" borderId="1" xfId="0" applyFont="1" applyFill="1" applyBorder="1" applyAlignment="1" applyProtection="1">
      <alignment horizontal="right" vertical="center" wrapText="1"/>
    </xf>
    <xf numFmtId="0" fontId="0" fillId="29" borderId="1" xfId="0" applyFill="1" applyBorder="1" applyAlignment="1" applyProtection="1">
      <alignment horizontal="center" vertical="top"/>
      <protection locked="0"/>
    </xf>
    <xf numFmtId="0" fontId="40" fillId="30" borderId="1" xfId="0" applyFont="1" applyFill="1" applyBorder="1" applyAlignment="1">
      <alignment horizontal="center" vertical="top" wrapText="1"/>
    </xf>
    <xf numFmtId="0" fontId="5" fillId="5" borderId="14" xfId="0" applyFont="1" applyFill="1" applyBorder="1" applyAlignment="1">
      <alignment horizontal="center" vertical="top" wrapText="1"/>
    </xf>
    <xf numFmtId="0" fontId="5" fillId="14" borderId="25" xfId="0" applyFont="1" applyFill="1" applyBorder="1" applyAlignment="1">
      <alignment horizontal="center" vertical="top"/>
    </xf>
    <xf numFmtId="166" fontId="14" fillId="27" borderId="13" xfId="0" applyNumberFormat="1" applyFont="1" applyFill="1" applyBorder="1" applyAlignment="1" applyProtection="1">
      <alignment vertical="top"/>
      <protection locked="0"/>
    </xf>
    <xf numFmtId="0" fontId="0" fillId="0" borderId="0" xfId="0" applyAlignment="1">
      <alignment vertical="center"/>
    </xf>
    <xf numFmtId="49" fontId="0" fillId="0" borderId="53" xfId="0" applyNumberFormat="1" applyBorder="1" applyAlignment="1">
      <alignment horizontal="left" vertical="center" wrapText="1"/>
    </xf>
    <xf numFmtId="49" fontId="6" fillId="0" borderId="53" xfId="0" applyNumberFormat="1" applyFont="1" applyBorder="1"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0" fillId="0" borderId="0" xfId="0" applyBorder="1" applyAlignment="1">
      <alignment vertical="center" wrapText="1"/>
    </xf>
    <xf numFmtId="0" fontId="5" fillId="5" borderId="1" xfId="0" applyFont="1" applyFill="1" applyBorder="1" applyAlignment="1" applyProtection="1">
      <alignment horizontal="left" vertical="top" wrapText="1"/>
    </xf>
    <xf numFmtId="0" fontId="5" fillId="5" borderId="1" xfId="0" applyFont="1" applyFill="1" applyBorder="1" applyAlignment="1" applyProtection="1">
      <alignment horizontal="center" vertical="center" wrapText="1"/>
    </xf>
    <xf numFmtId="0" fontId="25" fillId="13" borderId="1" xfId="0" applyFont="1" applyFill="1" applyBorder="1" applyAlignment="1" applyProtection="1">
      <alignment vertical="top" wrapText="1"/>
    </xf>
    <xf numFmtId="0" fontId="25" fillId="13" borderId="18" xfId="0" applyFont="1" applyFill="1" applyBorder="1" applyAlignment="1" applyProtection="1">
      <alignment vertical="top" wrapText="1"/>
    </xf>
    <xf numFmtId="0" fontId="0" fillId="0" borderId="0" xfId="0" applyAlignment="1" applyProtection="1">
      <alignment horizontal="center" vertical="center"/>
    </xf>
    <xf numFmtId="0" fontId="0" fillId="0" borderId="0" xfId="0" applyAlignment="1" applyProtection="1">
      <alignment horizontal="left" vertical="top" wrapText="1"/>
    </xf>
    <xf numFmtId="0" fontId="0" fillId="0" borderId="19" xfId="0" applyBorder="1" applyAlignment="1" applyProtection="1">
      <alignment vertical="top"/>
    </xf>
    <xf numFmtId="0" fontId="5" fillId="5" borderId="14" xfId="0" applyFont="1" applyFill="1" applyBorder="1" applyAlignment="1" applyProtection="1">
      <alignment horizontal="center" vertical="center" wrapText="1"/>
    </xf>
    <xf numFmtId="0" fontId="5" fillId="5" borderId="14" xfId="0" applyFont="1" applyFill="1" applyBorder="1" applyAlignment="1" applyProtection="1">
      <alignment horizontal="left" vertical="top" wrapText="1"/>
    </xf>
    <xf numFmtId="0" fontId="0" fillId="0" borderId="0" xfId="0" applyFill="1" applyAlignment="1" applyProtection="1">
      <alignment vertical="center"/>
    </xf>
    <xf numFmtId="0" fontId="0" fillId="0" borderId="0" xfId="0" applyFill="1" applyAlignment="1">
      <alignment vertical="center"/>
    </xf>
    <xf numFmtId="0" fontId="16" fillId="0" borderId="0" xfId="0" applyFont="1" applyFill="1" applyAlignment="1" applyProtection="1">
      <alignment vertical="center"/>
    </xf>
    <xf numFmtId="0" fontId="16" fillId="0" borderId="0" xfId="0" applyFont="1" applyFill="1" applyAlignment="1">
      <alignment vertical="center"/>
    </xf>
    <xf numFmtId="0" fontId="6" fillId="29" borderId="17" xfId="0" applyFont="1" applyFill="1" applyBorder="1" applyAlignment="1" applyProtection="1">
      <alignment horizontal="center" vertical="center"/>
      <protection locked="0"/>
    </xf>
    <xf numFmtId="0" fontId="6" fillId="24" borderId="0" xfId="0" applyFont="1" applyFill="1"/>
    <xf numFmtId="49" fontId="5" fillId="0" borderId="0" xfId="0" applyNumberFormat="1" applyFont="1"/>
    <xf numFmtId="49" fontId="5" fillId="0" borderId="0" xfId="0" quotePrefix="1" applyNumberFormat="1" applyFont="1"/>
    <xf numFmtId="0" fontId="58" fillId="7" borderId="13" xfId="0" applyFont="1" applyFill="1" applyBorder="1" applyAlignment="1" applyProtection="1">
      <alignment horizontal="left" vertical="center"/>
      <protection locked="0"/>
    </xf>
    <xf numFmtId="0" fontId="30" fillId="0" borderId="0" xfId="2" applyFill="1" applyBorder="1" applyAlignment="1" applyProtection="1">
      <alignment horizontal="center" vertical="center"/>
    </xf>
    <xf numFmtId="0" fontId="6" fillId="0" borderId="4" xfId="0" applyFont="1" applyFill="1" applyBorder="1" applyAlignment="1">
      <alignment horizontal="center" vertical="top" wrapText="1"/>
    </xf>
    <xf numFmtId="0" fontId="0" fillId="0" borderId="1" xfId="0" applyBorder="1" applyAlignment="1">
      <alignment horizontal="center" vertical="center"/>
    </xf>
    <xf numFmtId="0" fontId="30" fillId="0" borderId="18" xfId="2" applyBorder="1" applyAlignment="1" applyProtection="1"/>
    <xf numFmtId="0" fontId="30" fillId="0" borderId="6" xfId="2" applyBorder="1" applyAlignment="1" applyProtection="1"/>
    <xf numFmtId="0" fontId="6" fillId="0" borderId="6" xfId="0" applyFont="1" applyBorder="1" applyAlignment="1">
      <alignment horizontal="center"/>
    </xf>
    <xf numFmtId="0" fontId="6" fillId="0" borderId="0" xfId="0" applyFont="1" applyFill="1" applyAlignment="1">
      <alignment horizontal="left" vertical="top" wrapText="1"/>
    </xf>
    <xf numFmtId="0" fontId="6" fillId="0" borderId="1" xfId="0" applyFont="1" applyFill="1" applyBorder="1" applyAlignment="1">
      <alignment vertical="top" wrapText="1"/>
    </xf>
    <xf numFmtId="0" fontId="6" fillId="0" borderId="1" xfId="0" applyFont="1" applyFill="1" applyBorder="1" applyAlignment="1">
      <alignment horizontal="left" vertical="top" wrapText="1"/>
    </xf>
    <xf numFmtId="49" fontId="38" fillId="8" borderId="1" xfId="0" applyNumberFormat="1" applyFont="1" applyFill="1" applyBorder="1" applyAlignment="1" applyProtection="1">
      <alignment horizontal="left" vertical="top" wrapText="1"/>
      <protection locked="0"/>
    </xf>
    <xf numFmtId="49" fontId="0" fillId="27" borderId="1" xfId="0" applyNumberFormat="1" applyFill="1" applyBorder="1" applyAlignment="1" applyProtection="1">
      <alignment horizontal="left" vertical="top" wrapText="1"/>
      <protection locked="0"/>
    </xf>
    <xf numFmtId="49" fontId="13" fillId="27" borderId="1" xfId="0" applyNumberFormat="1" applyFont="1" applyFill="1" applyBorder="1" applyAlignment="1" applyProtection="1">
      <alignment horizontal="left" vertical="top" wrapText="1"/>
      <protection locked="0"/>
    </xf>
    <xf numFmtId="49" fontId="13" fillId="8" borderId="13" xfId="0" applyNumberFormat="1" applyFont="1" applyFill="1" applyBorder="1" applyAlignment="1" applyProtection="1">
      <alignment horizontal="left" vertical="top" wrapText="1"/>
      <protection locked="0"/>
    </xf>
    <xf numFmtId="49" fontId="13" fillId="27" borderId="13" xfId="0" applyNumberFormat="1" applyFont="1" applyFill="1" applyBorder="1" applyAlignment="1" applyProtection="1">
      <alignment horizontal="left" vertical="top" wrapText="1"/>
      <protection locked="0"/>
    </xf>
    <xf numFmtId="49" fontId="13" fillId="23" borderId="32" xfId="0" applyNumberFormat="1" applyFont="1" applyFill="1" applyBorder="1" applyAlignment="1" applyProtection="1">
      <alignment horizontal="left" vertical="top" wrapText="1"/>
      <protection locked="0"/>
    </xf>
    <xf numFmtId="49" fontId="13" fillId="8" borderId="5" xfId="0" applyNumberFormat="1" applyFont="1" applyFill="1" applyBorder="1" applyAlignment="1" applyProtection="1">
      <alignment horizontal="left" vertical="top" wrapText="1"/>
      <protection locked="0"/>
    </xf>
    <xf numFmtId="0" fontId="13" fillId="27" borderId="13" xfId="0" applyFont="1" applyFill="1" applyBorder="1" applyAlignment="1" applyProtection="1">
      <alignment horizontal="left" vertical="top" wrapText="1"/>
      <protection locked="0"/>
    </xf>
    <xf numFmtId="0" fontId="61" fillId="0" borderId="0" xfId="0" applyFont="1" applyBorder="1" applyAlignment="1" applyProtection="1">
      <alignment vertical="top"/>
      <protection locked="0"/>
    </xf>
    <xf numFmtId="0" fontId="63" fillId="27" borderId="1" xfId="0" applyFont="1" applyFill="1" applyBorder="1" applyAlignment="1" applyProtection="1">
      <alignment horizontal="left" wrapText="1"/>
      <protection locked="0"/>
    </xf>
    <xf numFmtId="0" fontId="16" fillId="7" borderId="21" xfId="0" applyFont="1" applyFill="1" applyBorder="1" applyAlignment="1" applyProtection="1">
      <alignment horizontal="left" wrapText="1"/>
      <protection locked="0"/>
    </xf>
    <xf numFmtId="167" fontId="5" fillId="2" borderId="5" xfId="0" applyNumberFormat="1" applyFont="1" applyFill="1" applyBorder="1" applyAlignment="1">
      <alignment horizontal="right" vertical="top" wrapText="1"/>
    </xf>
    <xf numFmtId="167" fontId="6" fillId="2" borderId="5" xfId="0" applyNumberFormat="1" applyFont="1" applyFill="1" applyBorder="1" applyAlignment="1">
      <alignment horizontal="right" vertical="top" wrapText="1"/>
    </xf>
    <xf numFmtId="167" fontId="6" fillId="2" borderId="13" xfId="0" applyNumberFormat="1" applyFont="1" applyFill="1" applyBorder="1" applyAlignment="1">
      <alignment horizontal="right" vertical="top" wrapText="1"/>
    </xf>
    <xf numFmtId="49" fontId="6" fillId="0" borderId="18" xfId="0" applyNumberFormat="1" applyFont="1" applyBorder="1" applyAlignment="1">
      <alignment vertical="top"/>
    </xf>
    <xf numFmtId="167" fontId="6" fillId="2" borderId="59" xfId="0" applyNumberFormat="1" applyFont="1" applyFill="1" applyBorder="1" applyAlignment="1">
      <alignment horizontal="right" vertical="top" wrapText="1"/>
    </xf>
    <xf numFmtId="49" fontId="6" fillId="0" borderId="58" xfId="0" applyNumberFormat="1" applyFont="1" applyBorder="1" applyAlignment="1">
      <alignment vertical="top"/>
    </xf>
    <xf numFmtId="167" fontId="6" fillId="2" borderId="60" xfId="0" applyNumberFormat="1" applyFont="1" applyFill="1" applyBorder="1" applyAlignment="1">
      <alignment horizontal="right" vertical="top" wrapText="1"/>
    </xf>
    <xf numFmtId="0" fontId="30" fillId="2" borderId="0" xfId="2" applyFill="1" applyAlignment="1" applyProtection="1">
      <alignment vertical="top" wrapText="1"/>
    </xf>
    <xf numFmtId="0" fontId="30" fillId="0" borderId="0" xfId="2" applyAlignment="1" applyProtection="1">
      <alignment wrapText="1"/>
    </xf>
    <xf numFmtId="0" fontId="6" fillId="0" borderId="61" xfId="0" applyFont="1" applyBorder="1" applyAlignment="1">
      <alignment wrapText="1"/>
    </xf>
    <xf numFmtId="0" fontId="30" fillId="0" borderId="61" xfId="2" applyBorder="1" applyAlignment="1" applyProtection="1"/>
    <xf numFmtId="0" fontId="0" fillId="0" borderId="1" xfId="0" applyBorder="1" applyAlignment="1">
      <alignment horizontal="center" vertical="center"/>
    </xf>
    <xf numFmtId="0" fontId="6" fillId="0" borderId="61" xfId="0" applyFont="1" applyBorder="1" applyAlignment="1">
      <alignment horizontal="left" wrapText="1"/>
    </xf>
    <xf numFmtId="0" fontId="0" fillId="0" borderId="1" xfId="0" applyFont="1" applyFill="1" applyBorder="1" applyAlignment="1">
      <alignment vertical="top"/>
    </xf>
    <xf numFmtId="0" fontId="0" fillId="0" borderId="18" xfId="0" applyFont="1" applyFill="1" applyBorder="1" applyAlignment="1">
      <alignment vertical="top"/>
    </xf>
    <xf numFmtId="0" fontId="0" fillId="0" borderId="58" xfId="0" applyFont="1" applyFill="1" applyBorder="1" applyAlignment="1">
      <alignment vertical="top"/>
    </xf>
    <xf numFmtId="0" fontId="0" fillId="0" borderId="1" xfId="0" applyFill="1" applyBorder="1" applyAlignment="1">
      <alignment vertical="top"/>
    </xf>
    <xf numFmtId="0" fontId="0" fillId="0" borderId="1" xfId="0" applyBorder="1" applyAlignment="1">
      <alignment vertical="top"/>
    </xf>
    <xf numFmtId="0" fontId="6" fillId="0" borderId="18" xfId="0" applyFont="1" applyFill="1" applyBorder="1" applyAlignment="1">
      <alignment vertical="top" wrapText="1"/>
    </xf>
    <xf numFmtId="0" fontId="6" fillId="0" borderId="58" xfId="0" applyFont="1" applyFill="1"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center"/>
    </xf>
    <xf numFmtId="49" fontId="6" fillId="0" borderId="61" xfId="0" applyNumberFormat="1" applyFont="1" applyBorder="1" applyAlignment="1">
      <alignment vertical="top"/>
    </xf>
    <xf numFmtId="167" fontId="6" fillId="2" borderId="62" xfId="0" applyNumberFormat="1" applyFont="1" applyFill="1" applyBorder="1" applyAlignment="1">
      <alignment horizontal="right" vertical="top" wrapText="1"/>
    </xf>
    <xf numFmtId="0" fontId="6" fillId="0" borderId="61" xfId="0" applyFont="1" applyFill="1" applyBorder="1" applyAlignment="1">
      <alignment vertical="top" wrapText="1"/>
    </xf>
    <xf numFmtId="0" fontId="6" fillId="0" borderId="61" xfId="0" applyFont="1" applyBorder="1" applyAlignment="1">
      <alignment horizontal="center" vertical="center" wrapText="1"/>
    </xf>
    <xf numFmtId="0" fontId="6" fillId="0" borderId="21" xfId="0" applyFont="1" applyFill="1" applyBorder="1" applyAlignment="1">
      <alignment horizontal="left" vertical="top" wrapText="1"/>
    </xf>
    <xf numFmtId="49" fontId="0" fillId="29" borderId="61" xfId="0" applyNumberFormat="1" applyFill="1" applyBorder="1" applyAlignment="1" applyProtection="1">
      <alignment horizontal="center" vertical="center"/>
      <protection locked="0"/>
    </xf>
    <xf numFmtId="49" fontId="13" fillId="27" borderId="62" xfId="0" applyNumberFormat="1" applyFont="1" applyFill="1" applyBorder="1" applyAlignment="1" applyProtection="1">
      <alignment horizontal="left" vertical="top" wrapText="1"/>
      <protection locked="0"/>
    </xf>
    <xf numFmtId="0" fontId="0" fillId="13" borderId="61" xfId="0" applyFill="1" applyBorder="1" applyAlignment="1" applyProtection="1">
      <alignment vertical="top"/>
      <protection locked="0"/>
    </xf>
    <xf numFmtId="49" fontId="7" fillId="2" borderId="12" xfId="0" applyNumberFormat="1" applyFont="1" applyFill="1" applyBorder="1" applyAlignment="1">
      <alignment horizontal="center" vertical="top" wrapText="1"/>
    </xf>
    <xf numFmtId="0" fontId="0" fillId="29" borderId="61" xfId="0" applyFill="1" applyBorder="1" applyAlignment="1" applyProtection="1">
      <alignment horizontal="center" vertical="center"/>
      <protection locked="0"/>
    </xf>
    <xf numFmtId="0" fontId="5" fillId="17" borderId="0" xfId="0" applyFont="1" applyFill="1" applyAlignment="1">
      <alignment horizontal="center" vertical="center" wrapText="1"/>
    </xf>
    <xf numFmtId="0" fontId="5" fillId="0" borderId="0" xfId="0" applyFont="1" applyFill="1" applyBorder="1" applyAlignment="1">
      <alignment horizontal="left" wrapText="1"/>
    </xf>
    <xf numFmtId="0" fontId="5" fillId="2" borderId="0" xfId="0" applyFont="1" applyFill="1" applyAlignment="1">
      <alignment horizontal="left" vertical="top"/>
    </xf>
    <xf numFmtId="0" fontId="5" fillId="22" borderId="0" xfId="0" applyFont="1" applyFill="1" applyAlignment="1">
      <alignment horizontal="center" vertical="center" wrapText="1"/>
    </xf>
    <xf numFmtId="0" fontId="5" fillId="21" borderId="0" xfId="0" applyFont="1" applyFill="1" applyAlignment="1">
      <alignment horizontal="center" vertical="center" wrapText="1"/>
    </xf>
    <xf numFmtId="0" fontId="65" fillId="19" borderId="0" xfId="0" applyFont="1" applyFill="1" applyAlignment="1">
      <alignment horizontal="center" vertical="center" wrapText="1"/>
    </xf>
    <xf numFmtId="0" fontId="65" fillId="35" borderId="0" xfId="0" applyFont="1" applyFill="1" applyAlignment="1">
      <alignment horizontal="center" vertical="center" wrapText="1"/>
    </xf>
    <xf numFmtId="0" fontId="65" fillId="12" borderId="0" xfId="0" applyFont="1" applyFill="1" applyAlignment="1">
      <alignment horizontal="center" vertical="center" wrapText="1"/>
    </xf>
    <xf numFmtId="0" fontId="65" fillId="36" borderId="0" xfId="0" applyFont="1" applyFill="1" applyAlignment="1">
      <alignment horizontal="center" vertical="center" wrapText="1"/>
    </xf>
    <xf numFmtId="0" fontId="6" fillId="0" borderId="61" xfId="0" applyFont="1" applyBorder="1" applyAlignment="1">
      <alignment vertical="center" wrapText="1"/>
    </xf>
    <xf numFmtId="0" fontId="6" fillId="2" borderId="0" xfId="0" applyFont="1" applyFill="1" applyAlignment="1">
      <alignment horizontal="center" vertical="center"/>
    </xf>
    <xf numFmtId="0" fontId="39" fillId="19" borderId="61" xfId="0" applyFont="1" applyFill="1" applyBorder="1" applyAlignment="1">
      <alignment vertical="center"/>
    </xf>
    <xf numFmtId="0" fontId="66" fillId="19" borderId="61" xfId="0" applyFont="1" applyFill="1" applyBorder="1" applyAlignment="1">
      <alignment vertical="center"/>
    </xf>
    <xf numFmtId="0" fontId="39" fillId="0" borderId="61" xfId="0" applyFont="1" applyBorder="1" applyAlignment="1">
      <alignment vertical="center"/>
    </xf>
    <xf numFmtId="0" fontId="6" fillId="2" borderId="61" xfId="0" applyFont="1" applyFill="1" applyBorder="1" applyAlignment="1">
      <alignment vertical="center"/>
    </xf>
    <xf numFmtId="49" fontId="6" fillId="16" borderId="61" xfId="0" applyNumberFormat="1" applyFont="1" applyFill="1" applyBorder="1" applyAlignment="1">
      <alignment horizontal="left" vertical="top"/>
    </xf>
    <xf numFmtId="0" fontId="6" fillId="16" borderId="61" xfId="0" applyFont="1" applyFill="1" applyBorder="1" applyAlignment="1">
      <alignment horizontal="left" vertical="top"/>
    </xf>
    <xf numFmtId="0" fontId="0" fillId="0" borderId="1" xfId="0" applyBorder="1" applyAlignment="1">
      <alignment horizontal="center" vertical="center"/>
    </xf>
    <xf numFmtId="0" fontId="5" fillId="0" borderId="0" xfId="0" applyFont="1" applyAlignment="1">
      <alignment wrapText="1"/>
    </xf>
    <xf numFmtId="0" fontId="50" fillId="26" borderId="62" xfId="0" applyFont="1" applyFill="1" applyBorder="1" applyAlignment="1">
      <alignment horizontal="center"/>
    </xf>
    <xf numFmtId="0" fontId="50" fillId="26" borderId="61" xfId="0" applyFont="1" applyFill="1" applyBorder="1" applyAlignment="1">
      <alignment horizontal="center"/>
    </xf>
    <xf numFmtId="0" fontId="14" fillId="30" borderId="61" xfId="0" applyFont="1" applyFill="1" applyBorder="1" applyAlignment="1" applyProtection="1">
      <alignment vertical="top"/>
      <protection locked="0"/>
    </xf>
    <xf numFmtId="0" fontId="0" fillId="30" borderId="61" xfId="0" applyFill="1" applyBorder="1"/>
    <xf numFmtId="49" fontId="16" fillId="7" borderId="1" xfId="0" applyNumberFormat="1" applyFont="1" applyFill="1" applyBorder="1" applyAlignment="1" applyProtection="1">
      <alignment horizontal="center" vertical="center"/>
      <protection locked="0"/>
    </xf>
    <xf numFmtId="0" fontId="4" fillId="3" borderId="62" xfId="0" applyFont="1" applyFill="1" applyBorder="1" applyAlignment="1">
      <alignment horizontal="center" vertical="center"/>
    </xf>
    <xf numFmtId="0" fontId="4" fillId="3" borderId="63" xfId="0" applyFont="1" applyFill="1" applyBorder="1" applyAlignment="1">
      <alignment horizontal="left" vertical="top"/>
    </xf>
    <xf numFmtId="49" fontId="0" fillId="2" borderId="0" xfId="0" applyNumberFormat="1" applyFill="1" applyAlignment="1">
      <alignment vertical="center"/>
    </xf>
    <xf numFmtId="49" fontId="0" fillId="0" borderId="0" xfId="0" applyNumberFormat="1" applyAlignment="1">
      <alignment vertical="center"/>
    </xf>
    <xf numFmtId="49" fontId="0" fillId="0" borderId="53" xfId="0" applyNumberFormat="1" applyBorder="1" applyAlignment="1">
      <alignment horizontal="left" vertical="center"/>
    </xf>
    <xf numFmtId="49" fontId="0" fillId="0" borderId="1" xfId="0" applyNumberFormat="1" applyBorder="1" applyAlignment="1">
      <alignment vertical="center" wrapText="1"/>
    </xf>
    <xf numFmtId="49" fontId="26" fillId="4" borderId="1" xfId="0" applyNumberFormat="1" applyFont="1" applyFill="1" applyBorder="1" applyAlignment="1">
      <alignment horizontal="center" vertical="center"/>
    </xf>
    <xf numFmtId="49" fontId="0" fillId="0" borderId="54" xfId="0" applyNumberFormat="1" applyBorder="1" applyAlignment="1">
      <alignment vertical="center" wrapText="1"/>
    </xf>
    <xf numFmtId="49" fontId="4" fillId="6" borderId="1" xfId="0" applyNumberFormat="1" applyFont="1" applyFill="1" applyBorder="1" applyAlignment="1">
      <alignment vertical="center" wrapText="1"/>
    </xf>
    <xf numFmtId="49" fontId="33" fillId="6" borderId="1" xfId="0" applyNumberFormat="1" applyFont="1" applyFill="1" applyBorder="1" applyAlignment="1">
      <alignment horizontal="center" vertical="center" wrapText="1"/>
    </xf>
    <xf numFmtId="49" fontId="18" fillId="6" borderId="54" xfId="0" applyNumberFormat="1" applyFont="1" applyFill="1" applyBorder="1" applyAlignment="1">
      <alignment vertical="center" wrapText="1"/>
    </xf>
    <xf numFmtId="49" fontId="19" fillId="6" borderId="53" xfId="0" applyNumberFormat="1" applyFont="1" applyFill="1" applyBorder="1" applyAlignment="1">
      <alignment horizontal="left" vertical="center" wrapText="1"/>
    </xf>
    <xf numFmtId="49" fontId="20" fillId="6" borderId="54" xfId="0" applyNumberFormat="1" applyFont="1" applyFill="1" applyBorder="1" applyAlignment="1">
      <alignment vertical="center" wrapText="1"/>
    </xf>
    <xf numFmtId="49" fontId="13" fillId="23" borderId="54" xfId="0" applyNumberFormat="1" applyFont="1" applyFill="1" applyBorder="1" applyAlignment="1">
      <alignment vertical="center" wrapText="1"/>
    </xf>
    <xf numFmtId="49" fontId="0" fillId="0" borderId="1" xfId="0" applyNumberFormat="1" applyBorder="1" applyAlignment="1">
      <alignment horizontal="left" vertical="center" wrapText="1"/>
    </xf>
    <xf numFmtId="49" fontId="0" fillId="23" borderId="54" xfId="0" applyNumberFormat="1" applyFill="1" applyBorder="1" applyAlignment="1">
      <alignment horizontal="left" vertical="center" wrapText="1"/>
    </xf>
    <xf numFmtId="49" fontId="6" fillId="23" borderId="54" xfId="0" quotePrefix="1" applyNumberFormat="1" applyFont="1" applyFill="1" applyBorder="1" applyAlignment="1">
      <alignment horizontal="left" vertical="center" wrapText="1"/>
    </xf>
    <xf numFmtId="49" fontId="19" fillId="6" borderId="1" xfId="0" applyNumberFormat="1" applyFont="1" applyFill="1" applyBorder="1" applyAlignment="1">
      <alignment horizontal="left" vertical="center" wrapText="1"/>
    </xf>
    <xf numFmtId="49" fontId="13" fillId="23" borderId="57" xfId="0" applyNumberFormat="1" applyFont="1" applyFill="1" applyBorder="1" applyAlignment="1">
      <alignment vertical="center" wrapText="1"/>
    </xf>
    <xf numFmtId="49" fontId="42" fillId="31" borderId="1" xfId="0" applyNumberFormat="1" applyFont="1" applyFill="1" applyBorder="1" applyAlignment="1">
      <alignment horizontal="left" vertical="top" wrapText="1"/>
    </xf>
    <xf numFmtId="49" fontId="6" fillId="2" borderId="1" xfId="0" applyNumberFormat="1" applyFont="1" applyFill="1" applyBorder="1" applyAlignment="1">
      <alignment horizontal="left" vertical="top" wrapText="1"/>
    </xf>
    <xf numFmtId="49" fontId="7" fillId="2" borderId="1" xfId="0" applyNumberFormat="1" applyFont="1" applyFill="1" applyBorder="1" applyAlignment="1">
      <alignment horizontal="left" vertical="top" wrapText="1"/>
    </xf>
    <xf numFmtId="49" fontId="6" fillId="15" borderId="1" xfId="0" applyNumberFormat="1" applyFont="1" applyFill="1" applyBorder="1" applyAlignment="1">
      <alignment vertical="top" wrapText="1"/>
    </xf>
    <xf numFmtId="49" fontId="3" fillId="0" borderId="1" xfId="0" applyNumberFormat="1" applyFont="1" applyBorder="1" applyAlignment="1">
      <alignment vertical="top" wrapText="1"/>
    </xf>
    <xf numFmtId="49" fontId="6" fillId="0" borderId="1" xfId="0" applyNumberFormat="1" applyFont="1" applyBorder="1" applyAlignment="1">
      <alignment horizontal="left" vertical="top"/>
    </xf>
    <xf numFmtId="49" fontId="6" fillId="0" borderId="55" xfId="0" applyNumberFormat="1" applyFont="1" applyBorder="1" applyAlignment="1">
      <alignment horizontal="left" vertical="center" wrapText="1"/>
    </xf>
    <xf numFmtId="49" fontId="6" fillId="0" borderId="56" xfId="0" applyNumberFormat="1" applyFont="1" applyBorder="1" applyAlignment="1">
      <alignment horizontal="left" vertical="center" wrapText="1"/>
    </xf>
    <xf numFmtId="49" fontId="33" fillId="6" borderId="56" xfId="0" applyNumberFormat="1" applyFont="1" applyFill="1" applyBorder="1" applyAlignment="1">
      <alignment horizontal="center" vertical="center" wrapText="1"/>
    </xf>
    <xf numFmtId="0" fontId="5" fillId="33" borderId="61" xfId="0" applyFont="1" applyFill="1" applyBorder="1" applyAlignment="1">
      <alignment horizontal="center" vertical="center"/>
    </xf>
    <xf numFmtId="0" fontId="48" fillId="19" borderId="28" xfId="0" applyFont="1" applyFill="1" applyBorder="1" applyAlignment="1" applyProtection="1">
      <alignment horizontal="center"/>
    </xf>
    <xf numFmtId="0" fontId="6" fillId="2" borderId="0" xfId="0" applyFont="1" applyFill="1" applyAlignment="1">
      <alignment horizontal="left" vertical="top" wrapText="1"/>
    </xf>
    <xf numFmtId="0" fontId="0" fillId="2" borderId="0" xfId="0" applyFill="1" applyAlignment="1">
      <alignment horizontal="left" vertical="top" wrapText="1"/>
    </xf>
    <xf numFmtId="0" fontId="0" fillId="0" borderId="0" xfId="0" applyAlignment="1">
      <alignment vertical="top" wrapText="1"/>
    </xf>
    <xf numFmtId="0" fontId="5" fillId="0" borderId="0" xfId="0" applyFont="1" applyFill="1" applyAlignment="1">
      <alignment horizontal="left" vertical="center" wrapText="1"/>
    </xf>
    <xf numFmtId="0" fontId="6" fillId="0" borderId="0" xfId="0" applyFont="1" applyFill="1" applyBorder="1" applyAlignment="1">
      <alignment horizontal="left" vertical="top" wrapText="1"/>
    </xf>
    <xf numFmtId="0" fontId="5" fillId="0" borderId="0" xfId="0" applyFont="1" applyFill="1" applyBorder="1" applyAlignment="1">
      <alignment horizontal="left" vertical="top" wrapText="1"/>
    </xf>
    <xf numFmtId="49" fontId="6" fillId="0" borderId="1" xfId="0" applyNumberFormat="1" applyFont="1" applyFill="1" applyBorder="1" applyAlignment="1">
      <alignment horizontal="left" vertical="top" wrapText="1"/>
    </xf>
    <xf numFmtId="0" fontId="5" fillId="34" borderId="61" xfId="0" applyFont="1" applyFill="1" applyBorder="1" applyAlignment="1">
      <alignment horizontal="center" vertical="center" wrapText="1"/>
    </xf>
    <xf numFmtId="0" fontId="6" fillId="2" borderId="61" xfId="0" applyFont="1" applyFill="1" applyBorder="1" applyAlignment="1">
      <alignment vertical="top" wrapText="1"/>
    </xf>
    <xf numFmtId="0" fontId="5" fillId="29" borderId="61" xfId="0" applyFont="1" applyFill="1" applyBorder="1" applyAlignment="1">
      <alignment horizontal="center" vertical="center" wrapText="1"/>
    </xf>
    <xf numFmtId="0" fontId="5" fillId="2" borderId="61" xfId="0" applyFont="1" applyFill="1" applyBorder="1" applyAlignment="1">
      <alignment horizontal="left" vertical="top" wrapText="1"/>
    </xf>
    <xf numFmtId="0" fontId="6" fillId="2" borderId="61" xfId="0" applyFont="1" applyFill="1" applyBorder="1" applyAlignment="1">
      <alignment horizontal="left" vertical="top" wrapText="1"/>
    </xf>
    <xf numFmtId="0" fontId="5" fillId="2" borderId="0" xfId="0" applyFont="1" applyFill="1" applyAlignment="1">
      <alignment horizontal="right" vertical="top"/>
    </xf>
    <xf numFmtId="0" fontId="68" fillId="17" borderId="0" xfId="0" applyFont="1" applyFill="1" applyAlignment="1">
      <alignment horizontal="center" vertical="center" wrapText="1"/>
    </xf>
    <xf numFmtId="0" fontId="5" fillId="2" borderId="0" xfId="0" applyFont="1" applyFill="1" applyAlignment="1">
      <alignment horizontal="center" vertical="center"/>
    </xf>
    <xf numFmtId="0" fontId="6" fillId="2" borderId="0" xfId="0" applyFont="1" applyFill="1" applyAlignment="1">
      <alignment horizontal="center" vertical="top"/>
    </xf>
    <xf numFmtId="0" fontId="30" fillId="0" borderId="0" xfId="2" applyAlignment="1" applyProtection="1"/>
    <xf numFmtId="0" fontId="30" fillId="0" borderId="0" xfId="2" applyAlignment="1" applyProtection="1">
      <alignment vertical="center"/>
    </xf>
    <xf numFmtId="49" fontId="30" fillId="0" borderId="0" xfId="2" applyNumberFormat="1" applyAlignment="1" applyProtection="1"/>
    <xf numFmtId="49" fontId="26" fillId="4" borderId="61" xfId="0" applyNumberFormat="1" applyFont="1" applyFill="1" applyBorder="1" applyAlignment="1">
      <alignment horizontal="center" vertical="center"/>
    </xf>
    <xf numFmtId="49" fontId="26" fillId="4" borderId="61" xfId="0" applyNumberFormat="1" applyFont="1" applyFill="1" applyBorder="1" applyAlignment="1">
      <alignment horizontal="left" vertical="center"/>
    </xf>
    <xf numFmtId="49" fontId="6" fillId="0" borderId="1" xfId="0" applyNumberFormat="1" applyFont="1" applyBorder="1" applyAlignment="1">
      <alignment horizontal="left" vertical="center" wrapText="1"/>
    </xf>
    <xf numFmtId="49" fontId="6" fillId="23" borderId="54" xfId="0" applyNumberFormat="1" applyFont="1" applyFill="1" applyBorder="1" applyAlignment="1">
      <alignment horizontal="left" vertical="center" wrapText="1"/>
    </xf>
    <xf numFmtId="49" fontId="6" fillId="0" borderId="0" xfId="0" applyNumberFormat="1" applyFont="1" applyAlignment="1">
      <alignment vertical="center"/>
    </xf>
    <xf numFmtId="0" fontId="6" fillId="2" borderId="0" xfId="0" applyFont="1" applyFill="1" applyAlignment="1">
      <alignment horizontal="left" vertical="top" wrapText="1"/>
    </xf>
    <xf numFmtId="0" fontId="31" fillId="0" borderId="0" xfId="0" applyFont="1" applyBorder="1" applyAlignment="1">
      <alignment horizontal="left" vertical="top" wrapText="1"/>
    </xf>
    <xf numFmtId="0" fontId="56" fillId="0" borderId="0" xfId="0" applyFont="1" applyBorder="1" applyAlignment="1">
      <alignment horizontal="left" vertical="top" wrapText="1"/>
    </xf>
    <xf numFmtId="0" fontId="5" fillId="2" borderId="0" xfId="0" applyFont="1" applyFill="1" applyAlignment="1">
      <alignment horizontal="left" vertical="top" wrapText="1"/>
    </xf>
    <xf numFmtId="0" fontId="5" fillId="9" borderId="39" xfId="0" applyFont="1" applyFill="1" applyBorder="1" applyAlignment="1">
      <alignment horizontal="center" wrapText="1"/>
    </xf>
    <xf numFmtId="0" fontId="5" fillId="9" borderId="7" xfId="0" applyFont="1" applyFill="1" applyBorder="1" applyAlignment="1">
      <alignment horizontal="center" wrapText="1"/>
    </xf>
    <xf numFmtId="0" fontId="10" fillId="20" borderId="37" xfId="0" applyFont="1" applyFill="1" applyBorder="1" applyAlignment="1">
      <alignment horizontal="center" vertical="top"/>
    </xf>
    <xf numFmtId="0" fontId="10" fillId="20" borderId="20" xfId="0" applyFont="1" applyFill="1" applyBorder="1" applyAlignment="1">
      <alignment horizontal="center" vertical="top"/>
    </xf>
    <xf numFmtId="0" fontId="10" fillId="20" borderId="38" xfId="0" applyFont="1" applyFill="1" applyBorder="1" applyAlignment="1">
      <alignment horizontal="center" vertical="top"/>
    </xf>
    <xf numFmtId="0" fontId="31" fillId="0" borderId="0" xfId="0" applyFont="1" applyBorder="1" applyAlignment="1">
      <alignment horizontal="left" vertical="top"/>
    </xf>
    <xf numFmtId="0" fontId="0" fillId="2" borderId="0" xfId="0" applyFill="1" applyAlignment="1">
      <alignment horizontal="left" vertical="top" wrapText="1"/>
    </xf>
    <xf numFmtId="0" fontId="10" fillId="23" borderId="37" xfId="0" applyFont="1" applyFill="1" applyBorder="1" applyAlignment="1">
      <alignment horizontal="center" vertical="top"/>
    </xf>
    <xf numFmtId="0" fontId="10" fillId="23" borderId="20" xfId="0" applyFont="1" applyFill="1" applyBorder="1" applyAlignment="1">
      <alignment horizontal="center" vertical="top"/>
    </xf>
    <xf numFmtId="0" fontId="10" fillId="23" borderId="38" xfId="0" applyFont="1" applyFill="1" applyBorder="1" applyAlignment="1">
      <alignment horizontal="center" vertical="top"/>
    </xf>
    <xf numFmtId="0" fontId="0" fillId="0" borderId="0" xfId="0" applyFill="1" applyBorder="1" applyAlignment="1">
      <alignment horizontal="center" wrapText="1"/>
    </xf>
    <xf numFmtId="0" fontId="5" fillId="24" borderId="0" xfId="0" applyFont="1" applyFill="1" applyBorder="1" applyAlignment="1">
      <alignment horizontal="left" wrapText="1"/>
    </xf>
    <xf numFmtId="0" fontId="6" fillId="0" borderId="0" xfId="0" applyFont="1" applyAlignment="1">
      <alignment vertical="top" wrapText="1"/>
    </xf>
    <xf numFmtId="0" fontId="0" fillId="0" borderId="0" xfId="0" applyAlignment="1">
      <alignment vertical="top" wrapText="1"/>
    </xf>
    <xf numFmtId="0" fontId="6" fillId="0" borderId="0" xfId="0" applyFont="1" applyFill="1" applyAlignment="1">
      <alignment horizontal="left" vertical="center" wrapText="1"/>
    </xf>
    <xf numFmtId="0" fontId="5" fillId="0" borderId="0" xfId="0" applyFont="1" applyFill="1" applyAlignment="1">
      <alignment horizontal="left" vertical="center" wrapText="1"/>
    </xf>
    <xf numFmtId="0" fontId="9" fillId="3" borderId="15" xfId="0" applyFont="1" applyFill="1" applyBorder="1" applyAlignment="1">
      <alignment horizontal="center"/>
    </xf>
    <xf numFmtId="0" fontId="9" fillId="3" borderId="16" xfId="0" applyFont="1" applyFill="1" applyBorder="1" applyAlignment="1">
      <alignment horizontal="center"/>
    </xf>
    <xf numFmtId="0" fontId="9" fillId="3" borderId="36" xfId="0" applyFont="1" applyFill="1" applyBorder="1" applyAlignment="1">
      <alignment horizontal="center"/>
    </xf>
    <xf numFmtId="0" fontId="10" fillId="27" borderId="37" xfId="0" applyFont="1" applyFill="1" applyBorder="1" applyAlignment="1">
      <alignment horizontal="center" vertical="top"/>
    </xf>
    <xf numFmtId="0" fontId="10" fillId="27" borderId="20" xfId="0" applyFont="1" applyFill="1" applyBorder="1" applyAlignment="1">
      <alignment horizontal="center" vertical="top"/>
    </xf>
    <xf numFmtId="0" fontId="10" fillId="27" borderId="38" xfId="0" applyFont="1" applyFill="1" applyBorder="1" applyAlignment="1">
      <alignment horizontal="center" vertical="top"/>
    </xf>
    <xf numFmtId="0" fontId="6" fillId="0" borderId="0" xfId="0" applyFont="1" applyFill="1" applyBorder="1" applyAlignment="1">
      <alignment horizontal="left" vertical="top" wrapText="1"/>
    </xf>
    <xf numFmtId="0" fontId="5" fillId="0" borderId="0" xfId="0" applyFont="1" applyFill="1" applyBorder="1" applyAlignment="1">
      <alignment horizontal="left" vertical="top" wrapText="1"/>
    </xf>
    <xf numFmtId="0" fontId="6" fillId="2" borderId="0" xfId="0" applyFont="1" applyFill="1" applyAlignment="1">
      <alignment horizontal="left" wrapText="1"/>
    </xf>
    <xf numFmtId="0" fontId="0" fillId="2" borderId="0" xfId="0" applyFill="1" applyAlignment="1">
      <alignment horizontal="left" wrapText="1"/>
    </xf>
    <xf numFmtId="0" fontId="6" fillId="0" borderId="0" xfId="0" applyFont="1" applyFill="1" applyAlignment="1">
      <alignment horizontal="left" wrapText="1"/>
    </xf>
    <xf numFmtId="0" fontId="5" fillId="0" borderId="0" xfId="0" applyFont="1" applyFill="1" applyAlignment="1">
      <alignment horizontal="left" wrapText="1"/>
    </xf>
    <xf numFmtId="0" fontId="28" fillId="25" borderId="61" xfId="0" applyFont="1" applyFill="1" applyBorder="1" applyAlignment="1">
      <alignment horizontal="center" vertical="center"/>
    </xf>
    <xf numFmtId="0" fontId="0" fillId="0" borderId="61" xfId="0" applyBorder="1" applyAlignment="1">
      <alignment horizontal="center" vertical="center"/>
    </xf>
    <xf numFmtId="0" fontId="5" fillId="33" borderId="62" xfId="0" applyFont="1" applyFill="1" applyBorder="1" applyAlignment="1">
      <alignment horizontal="center" vertical="center" wrapText="1"/>
    </xf>
    <xf numFmtId="0" fontId="0" fillId="0" borderId="33" xfId="0" applyBorder="1" applyAlignment="1">
      <alignment horizontal="center" vertical="center" wrapText="1"/>
    </xf>
    <xf numFmtId="0" fontId="0" fillId="0" borderId="63" xfId="0" applyBorder="1" applyAlignment="1">
      <alignment horizontal="center" vertical="center" wrapText="1"/>
    </xf>
    <xf numFmtId="0" fontId="5" fillId="22" borderId="13" xfId="0" applyFont="1" applyFill="1" applyBorder="1" applyAlignment="1">
      <alignment horizontal="center" vertical="center"/>
    </xf>
    <xf numFmtId="0" fontId="5" fillId="22" borderId="33" xfId="0" applyFont="1" applyFill="1" applyBorder="1" applyAlignment="1">
      <alignment horizontal="center" vertical="center"/>
    </xf>
    <xf numFmtId="0" fontId="5" fillId="22" borderId="21" xfId="0" applyFont="1" applyFill="1" applyBorder="1" applyAlignment="1">
      <alignment horizontal="center" vertical="center"/>
    </xf>
    <xf numFmtId="0" fontId="28" fillId="20" borderId="41" xfId="0" applyFont="1" applyFill="1" applyBorder="1" applyAlignment="1">
      <alignment horizontal="center" vertical="center"/>
    </xf>
    <xf numFmtId="0" fontId="28" fillId="20" borderId="27" xfId="0" applyFont="1" applyFill="1" applyBorder="1" applyAlignment="1">
      <alignment horizontal="center" vertical="center"/>
    </xf>
    <xf numFmtId="0" fontId="28" fillId="18" borderId="61" xfId="0" applyFont="1" applyFill="1" applyBorder="1" applyAlignment="1">
      <alignment horizontal="center" vertical="center"/>
    </xf>
    <xf numFmtId="0" fontId="34" fillId="16" borderId="42" xfId="0" applyFont="1" applyFill="1" applyBorder="1" applyAlignment="1" applyProtection="1">
      <alignment horizontal="left" vertical="top" wrapText="1"/>
    </xf>
    <xf numFmtId="0" fontId="36" fillId="16" borderId="31" xfId="0" applyFont="1" applyFill="1" applyBorder="1" applyAlignment="1" applyProtection="1">
      <alignment horizontal="center" vertical="center" wrapText="1"/>
    </xf>
    <xf numFmtId="0" fontId="36" fillId="16" borderId="42" xfId="0" applyFont="1" applyFill="1" applyBorder="1" applyAlignment="1" applyProtection="1">
      <alignment horizontal="center" vertical="center" wrapText="1"/>
    </xf>
    <xf numFmtId="0" fontId="34" fillId="16" borderId="1" xfId="0" applyFont="1" applyFill="1" applyBorder="1" applyAlignment="1" applyProtection="1">
      <alignment horizontal="left" vertical="center" wrapText="1"/>
    </xf>
    <xf numFmtId="165" fontId="16" fillId="0" borderId="13" xfId="0" applyNumberFormat="1" applyFont="1" applyFill="1" applyBorder="1" applyAlignment="1" applyProtection="1">
      <alignment horizontal="left" vertical="top"/>
    </xf>
    <xf numFmtId="165" fontId="16" fillId="0" borderId="33" xfId="0" applyNumberFormat="1" applyFont="1" applyFill="1" applyBorder="1" applyAlignment="1" applyProtection="1">
      <alignment horizontal="left" vertical="top"/>
    </xf>
    <xf numFmtId="165" fontId="16" fillId="0" borderId="21" xfId="0" applyNumberFormat="1" applyFont="1" applyFill="1" applyBorder="1" applyAlignment="1" applyProtection="1">
      <alignment horizontal="left" vertical="top"/>
    </xf>
    <xf numFmtId="0" fontId="40" fillId="0" borderId="1" xfId="0" applyFont="1" applyFill="1" applyBorder="1" applyAlignment="1" applyProtection="1">
      <alignment vertical="top" wrapText="1"/>
    </xf>
    <xf numFmtId="0" fontId="9" fillId="3" borderId="24" xfId="0" applyFont="1" applyFill="1" applyBorder="1" applyAlignment="1" applyProtection="1">
      <alignment horizontal="center"/>
    </xf>
    <xf numFmtId="0" fontId="9" fillId="3" borderId="42" xfId="0" applyFont="1" applyFill="1" applyBorder="1" applyAlignment="1" applyProtection="1">
      <alignment horizontal="center"/>
    </xf>
    <xf numFmtId="165" fontId="40" fillId="0" borderId="1" xfId="0" applyNumberFormat="1" applyFont="1" applyFill="1" applyBorder="1" applyAlignment="1" applyProtection="1">
      <alignment vertical="top" wrapText="1"/>
    </xf>
    <xf numFmtId="0" fontId="34" fillId="16" borderId="13" xfId="0" applyFont="1" applyFill="1" applyBorder="1" applyAlignment="1" applyProtection="1">
      <alignment horizontal="left" vertical="center" wrapText="1"/>
    </xf>
    <xf numFmtId="0" fontId="34" fillId="16" borderId="21" xfId="0" applyFont="1" applyFill="1" applyBorder="1" applyAlignment="1" applyProtection="1">
      <alignment horizontal="left" vertical="center" wrapText="1"/>
    </xf>
    <xf numFmtId="0" fontId="48" fillId="19" borderId="28" xfId="0" applyFont="1" applyFill="1" applyBorder="1" applyAlignment="1" applyProtection="1">
      <alignment horizontal="center"/>
    </xf>
    <xf numFmtId="0" fontId="32" fillId="0" borderId="28" xfId="0" applyFont="1" applyFill="1" applyBorder="1" applyAlignment="1" applyProtection="1">
      <alignment horizontal="left" vertical="top"/>
    </xf>
    <xf numFmtId="0" fontId="35" fillId="19" borderId="1" xfId="0" applyFont="1" applyFill="1" applyBorder="1" applyAlignment="1" applyProtection="1">
      <alignment horizontal="center" vertical="center" wrapText="1"/>
    </xf>
    <xf numFmtId="0" fontId="9" fillId="3" borderId="44" xfId="0" applyFont="1" applyFill="1" applyBorder="1" applyAlignment="1" applyProtection="1">
      <alignment horizontal="center"/>
    </xf>
    <xf numFmtId="0" fontId="9" fillId="3" borderId="27" xfId="0" applyFont="1" applyFill="1" applyBorder="1" applyAlignment="1" applyProtection="1">
      <alignment horizontal="center"/>
    </xf>
    <xf numFmtId="0" fontId="35" fillId="19" borderId="18" xfId="0" applyFont="1" applyFill="1" applyBorder="1" applyAlignment="1" applyProtection="1">
      <alignment horizontal="center" vertical="center" wrapText="1"/>
    </xf>
    <xf numFmtId="0" fontId="35" fillId="19" borderId="6" xfId="0" applyFont="1" applyFill="1" applyBorder="1" applyAlignment="1" applyProtection="1">
      <alignment horizontal="center" vertical="center" wrapText="1"/>
    </xf>
    <xf numFmtId="0" fontId="35" fillId="19" borderId="31" xfId="0" applyFont="1" applyFill="1" applyBorder="1" applyAlignment="1" applyProtection="1">
      <alignment horizontal="center" vertical="center" wrapText="1"/>
    </xf>
    <xf numFmtId="0" fontId="35" fillId="19" borderId="23" xfId="0" applyFont="1" applyFill="1" applyBorder="1" applyAlignment="1" applyProtection="1">
      <alignment horizontal="center" vertical="center" wrapText="1"/>
    </xf>
    <xf numFmtId="0" fontId="35" fillId="19" borderId="41" xfId="0" applyFont="1" applyFill="1" applyBorder="1" applyAlignment="1" applyProtection="1">
      <alignment horizontal="center" vertical="center" wrapText="1"/>
    </xf>
    <xf numFmtId="0" fontId="35" fillId="19" borderId="22" xfId="0" applyFont="1" applyFill="1" applyBorder="1" applyAlignment="1" applyProtection="1">
      <alignment horizontal="center" vertical="center" wrapText="1"/>
    </xf>
    <xf numFmtId="165" fontId="16" fillId="0" borderId="1" xfId="0" applyNumberFormat="1" applyFont="1" applyFill="1" applyBorder="1" applyAlignment="1" applyProtection="1">
      <alignment horizontal="left" vertical="top"/>
    </xf>
    <xf numFmtId="0" fontId="34" fillId="16" borderId="35" xfId="0" applyFont="1" applyFill="1" applyBorder="1" applyAlignment="1" applyProtection="1">
      <alignment horizontal="left" vertical="center" wrapText="1"/>
    </xf>
    <xf numFmtId="0" fontId="34" fillId="16" borderId="40" xfId="0" applyFont="1" applyFill="1" applyBorder="1" applyAlignment="1" applyProtection="1">
      <alignment horizontal="left" vertical="center" wrapText="1"/>
    </xf>
    <xf numFmtId="0" fontId="51" fillId="0" borderId="13" xfId="0" applyFont="1" applyFill="1" applyBorder="1" applyAlignment="1" applyProtection="1">
      <alignment horizontal="left" vertical="center"/>
      <protection locked="0"/>
    </xf>
    <xf numFmtId="0" fontId="51" fillId="0" borderId="33" xfId="0" applyFont="1" applyFill="1" applyBorder="1" applyAlignment="1" applyProtection="1">
      <alignment horizontal="left" vertical="center"/>
      <protection locked="0"/>
    </xf>
    <xf numFmtId="0" fontId="51" fillId="0" borderId="21" xfId="0" applyFont="1" applyFill="1" applyBorder="1" applyAlignment="1" applyProtection="1">
      <alignment horizontal="left" vertical="center"/>
      <protection locked="0"/>
    </xf>
    <xf numFmtId="0" fontId="23" fillId="7" borderId="13" xfId="0" applyFont="1" applyFill="1" applyBorder="1" applyAlignment="1" applyProtection="1">
      <alignment horizontal="left" vertical="center" wrapText="1"/>
      <protection locked="0"/>
    </xf>
    <xf numFmtId="0" fontId="23" fillId="7" borderId="33" xfId="0" applyFont="1" applyFill="1" applyBorder="1" applyAlignment="1" applyProtection="1">
      <alignment horizontal="left" vertical="center" wrapText="1"/>
      <protection locked="0"/>
    </xf>
    <xf numFmtId="0" fontId="23" fillId="7" borderId="21" xfId="0" applyFont="1" applyFill="1" applyBorder="1" applyAlignment="1" applyProtection="1">
      <alignment horizontal="left" vertical="center" wrapText="1"/>
      <protection locked="0"/>
    </xf>
    <xf numFmtId="0" fontId="9" fillId="3" borderId="43" xfId="0" applyFont="1" applyFill="1" applyBorder="1" applyAlignment="1" applyProtection="1">
      <alignment horizontal="center"/>
    </xf>
    <xf numFmtId="0" fontId="9" fillId="3" borderId="0" xfId="0" applyFont="1" applyFill="1" applyBorder="1" applyAlignment="1" applyProtection="1">
      <alignment horizontal="center"/>
    </xf>
    <xf numFmtId="0" fontId="50" fillId="19" borderId="1" xfId="0" applyFont="1" applyFill="1" applyBorder="1" applyAlignment="1" applyProtection="1">
      <alignment horizontal="center"/>
    </xf>
    <xf numFmtId="0" fontId="23" fillId="0" borderId="13" xfId="0" applyFont="1" applyFill="1" applyBorder="1" applyAlignment="1" applyProtection="1">
      <alignment horizontal="left" vertical="top" wrapText="1"/>
      <protection locked="0"/>
    </xf>
    <xf numFmtId="0" fontId="23" fillId="0" borderId="33" xfId="0" applyFont="1" applyFill="1" applyBorder="1" applyAlignment="1" applyProtection="1">
      <alignment horizontal="left" vertical="top" wrapText="1"/>
      <protection locked="0"/>
    </xf>
    <xf numFmtId="0" fontId="23" fillId="0" borderId="21" xfId="0" applyFont="1" applyFill="1" applyBorder="1" applyAlignment="1" applyProtection="1">
      <alignment horizontal="left" vertical="top" wrapText="1"/>
      <protection locked="0"/>
    </xf>
    <xf numFmtId="0" fontId="52" fillId="7" borderId="13" xfId="0" applyFont="1" applyFill="1" applyBorder="1" applyAlignment="1" applyProtection="1">
      <alignment horizontal="center" vertical="center" wrapText="1"/>
      <protection locked="0"/>
    </xf>
    <xf numFmtId="0" fontId="52" fillId="7" borderId="21" xfId="0" applyFont="1" applyFill="1" applyBorder="1" applyAlignment="1" applyProtection="1">
      <alignment horizontal="center" vertical="center" wrapText="1"/>
      <protection locked="0"/>
    </xf>
    <xf numFmtId="0" fontId="35" fillId="19" borderId="13" xfId="0" applyFont="1" applyFill="1" applyBorder="1" applyAlignment="1" applyProtection="1">
      <alignment horizontal="center" vertical="center" wrapText="1"/>
    </xf>
    <xf numFmtId="0" fontId="35" fillId="19" borderId="21" xfId="0" applyFont="1" applyFill="1" applyBorder="1" applyAlignment="1" applyProtection="1">
      <alignment horizontal="center" vertical="center" wrapText="1"/>
    </xf>
    <xf numFmtId="0" fontId="9" fillId="3" borderId="0" xfId="0" applyFont="1" applyFill="1" applyAlignment="1">
      <alignment horizontal="center"/>
    </xf>
    <xf numFmtId="165" fontId="51" fillId="0" borderId="13" xfId="0" applyNumberFormat="1" applyFont="1" applyFill="1" applyBorder="1" applyAlignment="1" applyProtection="1">
      <alignment horizontal="left" vertical="center"/>
    </xf>
    <xf numFmtId="165" fontId="51" fillId="0" borderId="33" xfId="0" applyNumberFormat="1" applyFont="1" applyFill="1" applyBorder="1" applyAlignment="1" applyProtection="1">
      <alignment horizontal="left" vertical="center"/>
    </xf>
    <xf numFmtId="165" fontId="51" fillId="0" borderId="21" xfId="0" applyNumberFormat="1" applyFont="1" applyFill="1" applyBorder="1" applyAlignment="1" applyProtection="1">
      <alignment horizontal="left" vertical="center"/>
    </xf>
    <xf numFmtId="0" fontId="23" fillId="23" borderId="13" xfId="0" applyFont="1" applyFill="1" applyBorder="1" applyAlignment="1" applyProtection="1">
      <alignment vertical="center" wrapText="1"/>
      <protection locked="0"/>
    </xf>
    <xf numFmtId="0" fontId="23" fillId="23" borderId="33" xfId="0" applyFont="1" applyFill="1" applyBorder="1" applyAlignment="1" applyProtection="1">
      <alignment vertical="center" wrapText="1"/>
      <protection locked="0"/>
    </xf>
    <xf numFmtId="0" fontId="23" fillId="23" borderId="21" xfId="0" applyFont="1" applyFill="1" applyBorder="1" applyAlignment="1" applyProtection="1">
      <alignment vertical="center" wrapText="1"/>
      <protection locked="0"/>
    </xf>
    <xf numFmtId="0" fontId="22" fillId="7" borderId="13" xfId="0" applyFont="1" applyFill="1" applyBorder="1" applyAlignment="1" applyProtection="1">
      <alignment horizontal="left" vertical="center" wrapText="1"/>
      <protection locked="0"/>
    </xf>
    <xf numFmtId="0" fontId="22" fillId="7" borderId="33" xfId="0" applyFont="1" applyFill="1" applyBorder="1" applyAlignment="1" applyProtection="1">
      <alignment horizontal="left" vertical="center" wrapText="1"/>
      <protection locked="0"/>
    </xf>
    <xf numFmtId="0" fontId="22" fillId="7" borderId="21" xfId="0" applyFont="1" applyFill="1" applyBorder="1" applyAlignment="1" applyProtection="1">
      <alignment horizontal="left" vertical="center" wrapText="1"/>
      <protection locked="0"/>
    </xf>
    <xf numFmtId="0" fontId="17" fillId="4" borderId="13" xfId="0" applyFont="1" applyFill="1" applyBorder="1" applyAlignment="1" applyProtection="1">
      <alignment horizontal="center" wrapText="1"/>
    </xf>
    <xf numFmtId="0" fontId="17" fillId="4" borderId="21" xfId="0" applyFont="1" applyFill="1" applyBorder="1" applyAlignment="1" applyProtection="1">
      <alignment horizontal="center" wrapText="1"/>
    </xf>
    <xf numFmtId="0" fontId="17" fillId="4" borderId="13" xfId="0" applyFont="1" applyFill="1" applyBorder="1" applyAlignment="1" applyProtection="1">
      <alignment horizontal="center" wrapText="1"/>
      <protection locked="0"/>
    </xf>
    <xf numFmtId="0" fontId="17" fillId="4" borderId="21" xfId="0" applyFont="1" applyFill="1" applyBorder="1" applyAlignment="1" applyProtection="1">
      <alignment horizontal="center" wrapText="1"/>
      <protection locked="0"/>
    </xf>
    <xf numFmtId="0" fontId="31" fillId="23" borderId="39" xfId="0" applyFont="1" applyFill="1" applyBorder="1" applyAlignment="1" applyProtection="1">
      <alignment horizontal="left" vertical="top" wrapText="1"/>
      <protection locked="0"/>
    </xf>
    <xf numFmtId="0" fontId="31" fillId="23" borderId="19" xfId="0" applyFont="1" applyFill="1" applyBorder="1" applyAlignment="1" applyProtection="1">
      <alignment horizontal="left" vertical="top" wrapText="1"/>
      <protection locked="0"/>
    </xf>
    <xf numFmtId="0" fontId="31" fillId="23" borderId="7" xfId="0" applyFont="1" applyFill="1" applyBorder="1" applyAlignment="1" applyProtection="1">
      <alignment horizontal="left" vertical="top" wrapText="1"/>
      <protection locked="0"/>
    </xf>
    <xf numFmtId="0" fontId="48" fillId="19" borderId="39" xfId="0" applyFont="1" applyFill="1" applyBorder="1" applyAlignment="1" applyProtection="1">
      <alignment horizontal="center"/>
    </xf>
    <xf numFmtId="0" fontId="48" fillId="19" borderId="19" xfId="0" applyFont="1" applyFill="1" applyBorder="1" applyAlignment="1" applyProtection="1">
      <alignment horizontal="center"/>
    </xf>
    <xf numFmtId="0" fontId="48" fillId="19" borderId="7" xfId="0" applyFont="1" applyFill="1" applyBorder="1" applyAlignment="1" applyProtection="1">
      <alignment horizontal="center"/>
    </xf>
    <xf numFmtId="49" fontId="9" fillId="3" borderId="50" xfId="0" applyNumberFormat="1" applyFont="1" applyFill="1" applyBorder="1" applyAlignment="1">
      <alignment horizontal="center" vertical="center"/>
    </xf>
    <xf numFmtId="49" fontId="9" fillId="3" borderId="51" xfId="0" applyNumberFormat="1" applyFont="1" applyFill="1" applyBorder="1" applyAlignment="1">
      <alignment horizontal="center" vertical="center"/>
    </xf>
    <xf numFmtId="49" fontId="9" fillId="3" borderId="52" xfId="0" applyNumberFormat="1" applyFont="1" applyFill="1" applyBorder="1" applyAlignment="1">
      <alignment horizontal="center" vertical="center"/>
    </xf>
    <xf numFmtId="0" fontId="42" fillId="31" borderId="13" xfId="0" applyFont="1" applyFill="1" applyBorder="1" applyAlignment="1">
      <alignment horizontal="left" vertical="top" wrapText="1"/>
    </xf>
    <xf numFmtId="0" fontId="42" fillId="31" borderId="33" xfId="0" applyFont="1" applyFill="1" applyBorder="1" applyAlignment="1">
      <alignment horizontal="left" vertical="top" wrapText="1"/>
    </xf>
    <xf numFmtId="0" fontId="42" fillId="31" borderId="21" xfId="0" applyFont="1" applyFill="1" applyBorder="1" applyAlignment="1">
      <alignment horizontal="left" vertical="top" wrapText="1"/>
    </xf>
    <xf numFmtId="0" fontId="2" fillId="10" borderId="1" xfId="0" applyFont="1" applyFill="1" applyBorder="1" applyAlignment="1">
      <alignment horizontal="left" vertical="top" wrapText="1"/>
    </xf>
    <xf numFmtId="49" fontId="2" fillId="10" borderId="1" xfId="0" applyNumberFormat="1" applyFont="1" applyFill="1" applyBorder="1" applyAlignment="1">
      <alignment horizontal="left" vertical="top" wrapText="1"/>
    </xf>
    <xf numFmtId="0" fontId="4" fillId="3" borderId="13" xfId="0" applyFont="1" applyFill="1" applyBorder="1" applyAlignment="1">
      <alignment horizontal="left" vertical="top" wrapText="1"/>
    </xf>
    <xf numFmtId="0" fontId="4" fillId="3" borderId="33" xfId="0" applyFont="1" applyFill="1" applyBorder="1" applyAlignment="1">
      <alignment horizontal="left" vertical="top" wrapText="1"/>
    </xf>
    <xf numFmtId="0" fontId="4" fillId="3" borderId="21" xfId="0" applyFont="1" applyFill="1" applyBorder="1" applyAlignment="1">
      <alignment horizontal="left" vertical="top" wrapText="1"/>
    </xf>
    <xf numFmtId="0" fontId="2" fillId="30" borderId="1" xfId="0" applyFont="1" applyFill="1" applyBorder="1" applyAlignment="1">
      <alignment horizontal="center" vertical="center" textRotation="90" wrapText="1"/>
    </xf>
    <xf numFmtId="0" fontId="2" fillId="10" borderId="12" xfId="0" applyFont="1" applyFill="1" applyBorder="1" applyAlignment="1">
      <alignment horizontal="left" vertical="top" wrapText="1"/>
    </xf>
    <xf numFmtId="49" fontId="8" fillId="10" borderId="33" xfId="0" applyNumberFormat="1" applyFont="1" applyFill="1" applyBorder="1" applyAlignment="1">
      <alignment horizontal="left" vertical="top" wrapText="1"/>
    </xf>
    <xf numFmtId="0" fontId="8" fillId="10" borderId="21" xfId="0" applyFont="1" applyFill="1" applyBorder="1" applyAlignment="1">
      <alignment horizontal="left" vertical="top" wrapText="1"/>
    </xf>
    <xf numFmtId="0" fontId="42" fillId="31" borderId="13" xfId="0" applyFont="1" applyFill="1" applyBorder="1" applyAlignment="1">
      <alignment horizontal="left" vertical="top"/>
    </xf>
    <xf numFmtId="0" fontId="42" fillId="31" borderId="33" xfId="0" applyFont="1" applyFill="1" applyBorder="1" applyAlignment="1">
      <alignment horizontal="left" vertical="top"/>
    </xf>
    <xf numFmtId="0" fontId="42" fillId="31" borderId="21" xfId="0" applyFont="1" applyFill="1" applyBorder="1" applyAlignment="1">
      <alignment horizontal="left" vertical="top"/>
    </xf>
    <xf numFmtId="49" fontId="2" fillId="10" borderId="33" xfId="0" applyNumberFormat="1" applyFont="1" applyFill="1" applyBorder="1" applyAlignment="1">
      <alignment horizontal="left" vertical="top" wrapText="1"/>
    </xf>
    <xf numFmtId="0" fontId="2" fillId="10" borderId="21" xfId="0" applyFont="1" applyFill="1" applyBorder="1" applyAlignment="1">
      <alignment horizontal="left" vertical="top" wrapText="1"/>
    </xf>
    <xf numFmtId="0" fontId="2" fillId="10" borderId="37" xfId="0" applyFont="1" applyFill="1" applyBorder="1" applyAlignment="1">
      <alignment horizontal="left" vertical="top" wrapText="1"/>
    </xf>
    <xf numFmtId="0" fontId="8" fillId="10" borderId="20" xfId="0" applyFont="1" applyFill="1" applyBorder="1" applyAlignment="1">
      <alignment horizontal="left" vertical="top" wrapText="1"/>
    </xf>
    <xf numFmtId="49" fontId="0" fillId="0" borderId="33" xfId="0" applyNumberFormat="1" applyBorder="1" applyAlignment="1">
      <alignment horizontal="left" vertical="top" wrapText="1"/>
    </xf>
    <xf numFmtId="0" fontId="0" fillId="0" borderId="21" xfId="0" applyBorder="1" applyAlignment="1">
      <alignment horizontal="left" vertical="top" wrapText="1"/>
    </xf>
    <xf numFmtId="0" fontId="42" fillId="31" borderId="62" xfId="0" applyFont="1" applyFill="1" applyBorder="1" applyAlignment="1">
      <alignment horizontal="left" vertical="top" wrapText="1"/>
    </xf>
    <xf numFmtId="0" fontId="2" fillId="10" borderId="20" xfId="0" applyFont="1" applyFill="1" applyBorder="1" applyAlignment="1">
      <alignment horizontal="left" vertical="top" wrapText="1"/>
    </xf>
    <xf numFmtId="0" fontId="2" fillId="26" borderId="43" xfId="0" applyFont="1" applyFill="1" applyBorder="1" applyAlignment="1">
      <alignment vertical="top" wrapText="1"/>
    </xf>
    <xf numFmtId="49" fontId="2" fillId="26" borderId="0" xfId="0" applyNumberFormat="1" applyFont="1" applyFill="1" applyBorder="1" applyAlignment="1">
      <alignment vertical="top" wrapText="1"/>
    </xf>
    <xf numFmtId="0" fontId="2" fillId="26" borderId="0" xfId="0" applyFont="1" applyFill="1" applyBorder="1" applyAlignment="1">
      <alignment vertical="top" wrapText="1"/>
    </xf>
    <xf numFmtId="0" fontId="2" fillId="10" borderId="4" xfId="0" applyFont="1" applyFill="1" applyBorder="1" applyAlignment="1">
      <alignment horizontal="left" vertical="top" wrapText="1"/>
    </xf>
    <xf numFmtId="49" fontId="8" fillId="10" borderId="1" xfId="0" applyNumberFormat="1" applyFont="1" applyFill="1" applyBorder="1" applyAlignment="1">
      <alignment horizontal="left" vertical="top" wrapText="1"/>
    </xf>
    <xf numFmtId="0" fontId="8" fillId="10" borderId="1" xfId="0" applyFont="1" applyFill="1" applyBorder="1" applyAlignment="1">
      <alignment horizontal="left" vertical="top" wrapText="1"/>
    </xf>
    <xf numFmtId="0" fontId="42" fillId="31" borderId="41" xfId="0" applyFont="1" applyFill="1" applyBorder="1" applyAlignment="1">
      <alignment horizontal="left" vertical="top" wrapText="1"/>
    </xf>
    <xf numFmtId="0" fontId="42" fillId="31" borderId="27" xfId="0" applyFont="1" applyFill="1" applyBorder="1" applyAlignment="1">
      <alignment horizontal="left" vertical="top" wrapText="1"/>
    </xf>
    <xf numFmtId="0" fontId="42" fillId="31" borderId="22" xfId="0" applyFont="1" applyFill="1" applyBorder="1" applyAlignment="1">
      <alignment horizontal="left" vertical="top" wrapText="1"/>
    </xf>
    <xf numFmtId="0" fontId="54" fillId="19" borderId="33" xfId="0" applyFont="1" applyFill="1" applyBorder="1" applyAlignment="1" applyProtection="1">
      <alignment horizontal="center" vertical="center"/>
    </xf>
    <xf numFmtId="0" fontId="13" fillId="34" borderId="62" xfId="0" applyFont="1" applyFill="1" applyBorder="1" applyAlignment="1">
      <alignment horizontal="center"/>
    </xf>
    <xf numFmtId="0" fontId="13" fillId="34" borderId="63" xfId="0" applyFont="1" applyFill="1" applyBorder="1" applyAlignment="1">
      <alignment horizontal="center"/>
    </xf>
    <xf numFmtId="0" fontId="50" fillId="26" borderId="41" xfId="0" applyFont="1" applyFill="1" applyBorder="1" applyAlignment="1">
      <alignment horizontal="center" vertical="center" wrapText="1"/>
    </xf>
    <xf numFmtId="0" fontId="50" fillId="26" borderId="22" xfId="0" applyFont="1" applyFill="1" applyBorder="1" applyAlignment="1">
      <alignment horizontal="center" vertical="center" wrapText="1"/>
    </xf>
    <xf numFmtId="0" fontId="35" fillId="28" borderId="41" xfId="0" applyFont="1" applyFill="1" applyBorder="1" applyAlignment="1" applyProtection="1">
      <alignment horizontal="center" vertical="center" wrapText="1"/>
    </xf>
    <xf numFmtId="0" fontId="35" fillId="28" borderId="48" xfId="0" applyFont="1" applyFill="1" applyBorder="1" applyAlignment="1" applyProtection="1">
      <alignment horizontal="center" vertical="center" wrapText="1"/>
    </xf>
    <xf numFmtId="0" fontId="50" fillId="28" borderId="18" xfId="0" applyFont="1" applyFill="1" applyBorder="1" applyAlignment="1">
      <alignment horizontal="center" vertical="center"/>
    </xf>
    <xf numFmtId="0" fontId="49" fillId="28" borderId="6" xfId="0" applyFont="1" applyFill="1" applyBorder="1" applyAlignment="1">
      <alignment horizontal="center" vertical="center"/>
    </xf>
    <xf numFmtId="0" fontId="9" fillId="3" borderId="15" xfId="0" applyFont="1" applyFill="1" applyBorder="1" applyAlignment="1" applyProtection="1">
      <alignment horizontal="center" vertical="center"/>
    </xf>
    <xf numFmtId="0" fontId="9" fillId="3" borderId="16" xfId="0" applyFont="1" applyFill="1" applyBorder="1" applyAlignment="1" applyProtection="1">
      <alignment horizontal="center" vertical="center"/>
    </xf>
    <xf numFmtId="0" fontId="9" fillId="3" borderId="46" xfId="0" applyFont="1" applyFill="1" applyBorder="1" applyAlignment="1" applyProtection="1">
      <alignment horizontal="center" vertical="center"/>
    </xf>
    <xf numFmtId="0" fontId="35" fillId="28" borderId="47" xfId="0" applyFont="1" applyFill="1" applyBorder="1" applyAlignment="1" applyProtection="1">
      <alignment horizontal="center" vertical="center" wrapText="1"/>
    </xf>
    <xf numFmtId="0" fontId="35" fillId="28" borderId="8" xfId="0" applyFont="1" applyFill="1" applyBorder="1" applyAlignment="1" applyProtection="1">
      <alignment horizontal="center" vertical="center" wrapText="1"/>
    </xf>
    <xf numFmtId="0" fontId="50" fillId="14" borderId="45" xfId="0" applyFont="1" applyFill="1" applyBorder="1" applyAlignment="1">
      <alignment horizontal="center" vertical="center" wrapText="1"/>
    </xf>
    <xf numFmtId="0" fontId="50" fillId="14" borderId="6" xfId="0" applyFont="1" applyFill="1" applyBorder="1" applyAlignment="1">
      <alignment horizontal="center" vertical="center" wrapText="1"/>
    </xf>
    <xf numFmtId="0" fontId="50" fillId="14" borderId="34" xfId="0" applyFont="1" applyFill="1" applyBorder="1" applyAlignment="1">
      <alignment horizontal="center" vertical="center"/>
    </xf>
    <xf numFmtId="0" fontId="50" fillId="14" borderId="41" xfId="0" applyFont="1" applyFill="1" applyBorder="1" applyAlignment="1">
      <alignment horizontal="center" vertical="center"/>
    </xf>
    <xf numFmtId="0" fontId="41" fillId="32" borderId="0" xfId="0" applyFont="1" applyFill="1" applyAlignment="1">
      <alignment horizontal="center"/>
    </xf>
    <xf numFmtId="0" fontId="4" fillId="3" borderId="0" xfId="0" applyFont="1" applyFill="1" applyAlignment="1">
      <alignment horizontal="center" vertical="center"/>
    </xf>
  </cellXfs>
  <cellStyles count="4">
    <cellStyle name="Good" xfId="1" builtinId="26"/>
    <cellStyle name="Hyperlink" xfId="2" builtinId="8"/>
    <cellStyle name="Normal" xfId="0" builtinId="0"/>
    <cellStyle name="Normal 2" xfId="3"/>
  </cellStyles>
  <dxfs count="222">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color theme="1"/>
      </font>
      <fill>
        <patternFill>
          <bgColor theme="5" tint="0.59996337778862885"/>
        </patternFill>
      </fill>
    </dxf>
    <dxf>
      <font>
        <color theme="1"/>
      </font>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ill>
        <patternFill>
          <bgColor rgb="FFFFFF00"/>
        </patternFill>
      </fill>
    </dxf>
    <dxf>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ill>
        <patternFill>
          <bgColor rgb="FFFFFF00"/>
        </patternFill>
      </fill>
    </dxf>
    <dxf>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ill>
        <patternFill>
          <bgColor rgb="FFFFFF00"/>
        </patternFill>
      </fill>
    </dxf>
    <dxf>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FFC0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5" tint="0.59996337778862885"/>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bgColor theme="0" tint="-0.14996795556505021"/>
        </patternFill>
      </fill>
    </dxf>
    <dxf>
      <font>
        <color theme="1"/>
      </font>
      <fill>
        <patternFill>
          <bgColor rgb="FFFFFF00"/>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fgColor theme="0"/>
          <bgColor theme="7" tint="0.39994506668294322"/>
        </patternFill>
      </fill>
    </dxf>
    <dxf>
      <fill>
        <patternFill>
          <bgColor rgb="FF00FF00"/>
        </patternFill>
      </fill>
    </dxf>
    <dxf>
      <fill>
        <patternFill>
          <bgColor rgb="FFFFFF00"/>
        </patternFill>
      </fill>
    </dxf>
    <dxf>
      <fill>
        <patternFill>
          <bgColor rgb="FFFF0000"/>
        </patternFill>
      </fill>
    </dxf>
    <dxf>
      <font>
        <color theme="1"/>
        <name val="Cambria"/>
        <scheme val="none"/>
      </font>
      <fill>
        <patternFill>
          <bgColor rgb="FFFFFF00"/>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s>
  <tableStyles count="1" defaultTableStyle="TableStyleMedium9" defaultPivotStyle="PivotStyleLight16">
    <tableStyle name="MySqlDefault" pivot="0" table="0" count="0"/>
  </tableStyles>
  <colors>
    <mruColors>
      <color rgb="FFCCFFCC"/>
      <color rgb="FF99CCFF"/>
      <color rgb="FFFFCC99"/>
      <color rgb="FF000066"/>
      <color rgb="FFFFFFCC"/>
      <color rgb="FFF2F2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6715125</xdr:colOff>
          <xdr:row>3</xdr:row>
          <xdr:rowOff>0</xdr:rowOff>
        </xdr:from>
        <xdr:to>
          <xdr:col>4</xdr:col>
          <xdr:colOff>0</xdr:colOff>
          <xdr:row>3</xdr:row>
          <xdr:rowOff>790575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6715125</xdr:colOff>
          <xdr:row>3</xdr:row>
          <xdr:rowOff>0</xdr:rowOff>
        </xdr:from>
        <xdr:to>
          <xdr:col>4</xdr:col>
          <xdr:colOff>0</xdr:colOff>
          <xdr:row>3</xdr:row>
          <xdr:rowOff>790575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6715125</xdr:colOff>
          <xdr:row>3</xdr:row>
          <xdr:rowOff>0</xdr:rowOff>
        </xdr:from>
        <xdr:to>
          <xdr:col>4</xdr:col>
          <xdr:colOff>0</xdr:colOff>
          <xdr:row>3</xdr:row>
          <xdr:rowOff>790575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48</xdr:row>
          <xdr:rowOff>0</xdr:rowOff>
        </xdr:from>
        <xdr:to>
          <xdr:col>3</xdr:col>
          <xdr:colOff>876300</xdr:colOff>
          <xdr:row>49</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62</xdr:row>
          <xdr:rowOff>123825</xdr:rowOff>
        </xdr:from>
        <xdr:to>
          <xdr:col>3</xdr:col>
          <xdr:colOff>904875</xdr:colOff>
          <xdr:row>64</xdr:row>
          <xdr:rowOff>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6715125</xdr:colOff>
          <xdr:row>3</xdr:row>
          <xdr:rowOff>0</xdr:rowOff>
        </xdr:from>
        <xdr:to>
          <xdr:col>4</xdr:col>
          <xdr:colOff>0</xdr:colOff>
          <xdr:row>3</xdr:row>
          <xdr:rowOff>790575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xdr:row>
          <xdr:rowOff>38100</xdr:rowOff>
        </xdr:from>
        <xdr:to>
          <xdr:col>4</xdr:col>
          <xdr:colOff>0</xdr:colOff>
          <xdr:row>8</xdr:row>
          <xdr:rowOff>171450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from Glitz</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5</xdr:row>
          <xdr:rowOff>9525</xdr:rowOff>
        </xdr:from>
        <xdr:to>
          <xdr:col>4</xdr:col>
          <xdr:colOff>9525</xdr:colOff>
          <xdr:row>5</xdr:row>
          <xdr:rowOff>180975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8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Add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hyperlink" Target="http://garwiki.regn.net/mediawiki/index.php/How_to_fill_out_a_scorecard" TargetMode="Externa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hyperlink" Target="http://garwiki.regn.net/mediawiki/index.php/Governance_Levels_for_Systems_Assets" TargetMode="External"/><Relationship Id="rId1" Type="http://schemas.openxmlformats.org/officeDocument/2006/relationships/hyperlink" Target="http://garwiki.regn.net/mediawiki/index.php/System_Asset_Scorecard_Template_(scorecard_template)"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garwiki.regn.net/mediawiki/index.php/How_to_fill_out_a_scorecard" TargetMode="Externa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hyperlink" Target="https://wiki.regn.net/wiki/TP311_(technology_problem)" TargetMode="External"/><Relationship Id="rId3" Type="http://schemas.openxmlformats.org/officeDocument/2006/relationships/hyperlink" Target="https://wiki.regn.net/w/index.php?title=Representation_of_Currency_(technology_standard)" TargetMode="External"/><Relationship Id="rId7" Type="http://schemas.openxmlformats.org/officeDocument/2006/relationships/hyperlink" Target="https://wiki.regn.net/wiki/Data_Asset_Specification_Template" TargetMode="External"/><Relationship Id="rId2" Type="http://schemas.openxmlformats.org/officeDocument/2006/relationships/hyperlink" Target="https://wiki.regn.net/w/index.php?title=Representation_of_Locale_(technology_standard)" TargetMode="External"/><Relationship Id="rId1" Type="http://schemas.openxmlformats.org/officeDocument/2006/relationships/hyperlink" Target="https://thewire.regn.net/corporate-departments/compliance/Documents/information-value-classification-instructions.pdf" TargetMode="External"/><Relationship Id="rId6" Type="http://schemas.openxmlformats.org/officeDocument/2006/relationships/hyperlink" Target="http://gar.regn.net/sites/docs/ContentLibrary/Enterprise%20Architecture/Governance/Data%20Model%20Review%20Process.docx" TargetMode="External"/><Relationship Id="rId5" Type="http://schemas.openxmlformats.org/officeDocument/2006/relationships/hyperlink" Target="https://wiki.regn.net/w/index.php?title=Time_Zone_Values_(technology_standard)" TargetMode="External"/><Relationship Id="rId4" Type="http://schemas.openxmlformats.org/officeDocument/2006/relationships/hyperlink" Target="https://wiki.regn.net/w/index.php?title=Representation_of_Date_and_Time_(technology_standard)" TargetMode="External"/><Relationship Id="rId9"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L108"/>
  <sheetViews>
    <sheetView topLeftCell="A49" zoomScale="120" zoomScaleNormal="100" workbookViewId="0">
      <selection sqref="A1:C1"/>
    </sheetView>
  </sheetViews>
  <sheetFormatPr defaultRowHeight="12.75" x14ac:dyDescent="0.2"/>
  <cols>
    <col min="1" max="1" width="4.85546875" style="93" customWidth="1"/>
    <col min="2" max="2" width="20.7109375" style="1" customWidth="1"/>
    <col min="3" max="3" width="100.85546875" style="1" customWidth="1"/>
    <col min="4" max="4" width="13.7109375" customWidth="1"/>
  </cols>
  <sheetData>
    <row r="1" spans="1:4" ht="18.75" x14ac:dyDescent="0.3">
      <c r="A1" s="376" t="s">
        <v>17</v>
      </c>
      <c r="B1" s="377"/>
      <c r="C1" s="378"/>
    </row>
    <row r="2" spans="1:4" s="2" customFormat="1" ht="21" thickBot="1" x14ac:dyDescent="0.25">
      <c r="A2" s="379" t="s">
        <v>10</v>
      </c>
      <c r="B2" s="380"/>
      <c r="C2" s="381"/>
    </row>
    <row r="3" spans="1:4" s="4" customFormat="1" x14ac:dyDescent="0.2">
      <c r="A3" s="370"/>
      <c r="B3" s="370"/>
      <c r="C3" s="370"/>
    </row>
    <row r="4" spans="1:4" s="4" customFormat="1" ht="79.5" customHeight="1" x14ac:dyDescent="0.2">
      <c r="A4" s="337" t="s">
        <v>104</v>
      </c>
      <c r="B4" s="382" t="s">
        <v>440</v>
      </c>
      <c r="C4" s="383"/>
    </row>
    <row r="5" spans="1:4" s="4" customFormat="1" ht="16.5" customHeight="1" x14ac:dyDescent="0.2">
      <c r="A5" s="337"/>
      <c r="B5" s="336"/>
      <c r="C5" s="337"/>
    </row>
    <row r="6" spans="1:4" s="4" customFormat="1" ht="15.75" customHeight="1" x14ac:dyDescent="0.2">
      <c r="A6" s="279">
        <v>1</v>
      </c>
      <c r="B6" s="371" t="s">
        <v>112</v>
      </c>
      <c r="C6" s="371"/>
    </row>
    <row r="7" spans="1:4" s="177" customFormat="1" ht="18.75" customHeight="1" x14ac:dyDescent="0.2">
      <c r="A7" s="280" t="s">
        <v>113</v>
      </c>
      <c r="B7" s="384" t="s">
        <v>437</v>
      </c>
      <c r="C7" s="385"/>
    </row>
    <row r="8" spans="1:4" s="2" customFormat="1" ht="16.5" customHeight="1" x14ac:dyDescent="0.2">
      <c r="A8" s="280"/>
      <c r="B8" s="359" t="s">
        <v>441</v>
      </c>
      <c r="C8" s="359"/>
    </row>
    <row r="9" spans="1:4" s="177" customFormat="1" ht="15" customHeight="1" x14ac:dyDescent="0.2">
      <c r="A9" s="280" t="s">
        <v>114</v>
      </c>
      <c r="B9" s="384" t="s">
        <v>656</v>
      </c>
      <c r="C9" s="384"/>
    </row>
    <row r="10" spans="1:4" s="2" customFormat="1" ht="42" customHeight="1" x14ac:dyDescent="0.2">
      <c r="A10" s="280"/>
      <c r="B10" s="339" t="s">
        <v>104</v>
      </c>
      <c r="C10" s="340" t="s">
        <v>657</v>
      </c>
    </row>
    <row r="11" spans="1:4" s="2" customFormat="1" ht="25.5" customHeight="1" x14ac:dyDescent="0.2">
      <c r="A11" s="280"/>
      <c r="B11" s="341" t="s">
        <v>429</v>
      </c>
      <c r="C11" s="340" t="s">
        <v>658</v>
      </c>
    </row>
    <row r="12" spans="1:4" s="2" customFormat="1" ht="51" x14ac:dyDescent="0.2">
      <c r="A12" s="280" t="s">
        <v>115</v>
      </c>
      <c r="B12" s="386" t="s">
        <v>449</v>
      </c>
      <c r="C12" s="387"/>
      <c r="D12" s="254" t="s">
        <v>443</v>
      </c>
    </row>
    <row r="13" spans="1:4" s="2" customFormat="1" ht="15" x14ac:dyDescent="0.2">
      <c r="A13" s="280"/>
      <c r="B13" s="283" t="s">
        <v>494</v>
      </c>
      <c r="C13" s="335" t="s">
        <v>498</v>
      </c>
    </row>
    <row r="14" spans="1:4" s="177" customFormat="1" ht="15" x14ac:dyDescent="0.2">
      <c r="A14" s="280"/>
      <c r="B14" s="284" t="s">
        <v>495</v>
      </c>
      <c r="C14" s="335" t="s">
        <v>680</v>
      </c>
    </row>
    <row r="15" spans="1:4" s="2" customFormat="1" ht="15" x14ac:dyDescent="0.2">
      <c r="A15" s="280"/>
      <c r="B15" s="285" t="s">
        <v>496</v>
      </c>
      <c r="C15" s="335" t="s">
        <v>681</v>
      </c>
    </row>
    <row r="16" spans="1:4" s="4" customFormat="1" ht="15" x14ac:dyDescent="0.2">
      <c r="A16" s="280"/>
      <c r="B16" s="286" t="s">
        <v>497</v>
      </c>
      <c r="C16" s="335" t="s">
        <v>682</v>
      </c>
    </row>
    <row r="17" spans="1:12" s="177" customFormat="1" ht="25.5" x14ac:dyDescent="0.2">
      <c r="A17" s="280" t="s">
        <v>659</v>
      </c>
      <c r="B17" s="386" t="s">
        <v>660</v>
      </c>
      <c r="C17" s="387"/>
      <c r="D17" s="254" t="s">
        <v>442</v>
      </c>
    </row>
    <row r="18" spans="1:12" s="2" customFormat="1" x14ac:dyDescent="0.2">
      <c r="A18" s="280"/>
      <c r="B18" s="85"/>
      <c r="C18" s="74"/>
    </row>
    <row r="19" spans="1:12" s="4" customFormat="1" ht="15.75" customHeight="1" x14ac:dyDescent="0.2">
      <c r="A19" s="280">
        <v>2</v>
      </c>
      <c r="B19" s="371" t="s">
        <v>217</v>
      </c>
      <c r="C19" s="371"/>
    </row>
    <row r="20" spans="1:12" s="2" customFormat="1" x14ac:dyDescent="0.2">
      <c r="A20" s="280"/>
      <c r="B20" s="356" t="s">
        <v>226</v>
      </c>
      <c r="C20" s="366"/>
    </row>
    <row r="21" spans="1:12" s="2" customFormat="1" x14ac:dyDescent="0.2">
      <c r="A21" s="280"/>
      <c r="B21" s="332"/>
      <c r="C21" s="333"/>
    </row>
    <row r="22" spans="1:12" s="4" customFormat="1" ht="15.75" customHeight="1" x14ac:dyDescent="0.2">
      <c r="A22" s="280">
        <v>3</v>
      </c>
      <c r="B22" s="371" t="s">
        <v>683</v>
      </c>
      <c r="C22" s="371"/>
    </row>
    <row r="23" spans="1:12" s="2" customFormat="1" x14ac:dyDescent="0.2">
      <c r="A23" s="280" t="s">
        <v>116</v>
      </c>
      <c r="B23" s="356" t="s">
        <v>205</v>
      </c>
      <c r="C23" s="366"/>
    </row>
    <row r="24" spans="1:12" s="2" customFormat="1" x14ac:dyDescent="0.2">
      <c r="A24" s="280"/>
      <c r="B24" s="16" t="s">
        <v>44</v>
      </c>
      <c r="C24" s="16" t="s">
        <v>45</v>
      </c>
    </row>
    <row r="25" spans="1:12" s="2" customFormat="1" ht="13.15" customHeight="1" x14ac:dyDescent="0.2">
      <c r="A25" s="92"/>
      <c r="B25" s="16" t="s">
        <v>46</v>
      </c>
      <c r="C25" s="12" t="s">
        <v>18</v>
      </c>
    </row>
    <row r="26" spans="1:12" s="2" customFormat="1" x14ac:dyDescent="0.2">
      <c r="A26" s="177"/>
      <c r="B26" s="16" t="s">
        <v>23</v>
      </c>
      <c r="C26" s="12" t="s">
        <v>47</v>
      </c>
    </row>
    <row r="27" spans="1:12" s="2" customFormat="1" x14ac:dyDescent="0.2">
      <c r="A27" s="177"/>
      <c r="B27" s="16" t="s">
        <v>25</v>
      </c>
      <c r="C27" s="12" t="s">
        <v>48</v>
      </c>
    </row>
    <row r="28" spans="1:12" s="2" customFormat="1" ht="25.5" x14ac:dyDescent="0.2">
      <c r="A28" s="177" t="s">
        <v>117</v>
      </c>
      <c r="B28" s="372" t="s">
        <v>447</v>
      </c>
      <c r="C28" s="373"/>
      <c r="D28" s="253" t="s">
        <v>445</v>
      </c>
    </row>
    <row r="29" spans="1:12" s="2" customFormat="1" ht="52.5" customHeight="1" x14ac:dyDescent="0.2">
      <c r="A29" s="280" t="s">
        <v>118</v>
      </c>
      <c r="B29" s="356" t="s">
        <v>444</v>
      </c>
      <c r="C29" s="366"/>
    </row>
    <row r="30" spans="1:12" s="2" customFormat="1" ht="49.5" customHeight="1" x14ac:dyDescent="0.2">
      <c r="A30" s="280" t="s">
        <v>125</v>
      </c>
      <c r="B30" s="374" t="s">
        <v>446</v>
      </c>
      <c r="C30" s="375"/>
      <c r="L30" s="25"/>
    </row>
    <row r="31" spans="1:12" s="2" customFormat="1" x14ac:dyDescent="0.2">
      <c r="A31" s="279"/>
      <c r="B31" s="12"/>
      <c r="C31" s="12"/>
    </row>
    <row r="32" spans="1:12" s="4" customFormat="1" ht="15.75" customHeight="1" x14ac:dyDescent="0.2">
      <c r="A32" s="280">
        <v>4</v>
      </c>
      <c r="B32" s="371" t="s">
        <v>119</v>
      </c>
      <c r="C32" s="371"/>
    </row>
    <row r="33" spans="1:4" s="2" customFormat="1" ht="90.75" customHeight="1" x14ac:dyDescent="0.2">
      <c r="A33" s="280" t="s">
        <v>120</v>
      </c>
      <c r="B33" s="356" t="s">
        <v>250</v>
      </c>
      <c r="C33" s="366"/>
    </row>
    <row r="34" spans="1:4" s="2" customFormat="1" ht="25.5" customHeight="1" x14ac:dyDescent="0.2">
      <c r="A34" s="279" t="s">
        <v>121</v>
      </c>
      <c r="B34" s="356" t="s">
        <v>251</v>
      </c>
      <c r="C34" s="366"/>
    </row>
    <row r="35" spans="1:4" s="2" customFormat="1" ht="25.5" customHeight="1" x14ac:dyDescent="0.2">
      <c r="A35" s="280" t="s">
        <v>122</v>
      </c>
      <c r="B35" s="356" t="s">
        <v>249</v>
      </c>
      <c r="C35" s="356"/>
    </row>
    <row r="36" spans="1:4" s="2" customFormat="1" x14ac:dyDescent="0.2">
      <c r="A36" s="280" t="s">
        <v>123</v>
      </c>
      <c r="B36" s="356" t="s">
        <v>128</v>
      </c>
      <c r="C36" s="356"/>
    </row>
    <row r="37" spans="1:4" s="2" customFormat="1" ht="25.5" x14ac:dyDescent="0.2">
      <c r="A37" s="280"/>
      <c r="B37" s="342" t="s">
        <v>129</v>
      </c>
      <c r="C37" s="343" t="s">
        <v>248</v>
      </c>
    </row>
    <row r="38" spans="1:4" s="2" customFormat="1" ht="25.5" x14ac:dyDescent="0.2">
      <c r="A38" s="280"/>
      <c r="B38" s="342" t="s">
        <v>107</v>
      </c>
      <c r="C38" s="343" t="s">
        <v>131</v>
      </c>
    </row>
    <row r="39" spans="1:4" s="2" customFormat="1" ht="25.5" x14ac:dyDescent="0.2">
      <c r="A39" s="280"/>
      <c r="B39" s="342" t="s">
        <v>130</v>
      </c>
      <c r="C39" s="343" t="s">
        <v>132</v>
      </c>
    </row>
    <row r="40" spans="1:4" s="2" customFormat="1" ht="25.5" x14ac:dyDescent="0.2">
      <c r="A40" s="280"/>
      <c r="B40" s="342" t="s">
        <v>111</v>
      </c>
      <c r="C40" s="343" t="s">
        <v>220</v>
      </c>
    </row>
    <row r="41" spans="1:4" s="2" customFormat="1" x14ac:dyDescent="0.2">
      <c r="A41" s="280"/>
      <c r="B41" s="342" t="s">
        <v>133</v>
      </c>
      <c r="C41" s="343" t="s">
        <v>134</v>
      </c>
    </row>
    <row r="42" spans="1:4" s="2" customFormat="1" x14ac:dyDescent="0.2">
      <c r="A42" s="280"/>
      <c r="B42" s="16"/>
      <c r="C42" s="12"/>
    </row>
    <row r="43" spans="1:4" s="2" customFormat="1" ht="21" thickBot="1" x14ac:dyDescent="0.25">
      <c r="A43" s="367" t="s">
        <v>65</v>
      </c>
      <c r="B43" s="368"/>
      <c r="C43" s="369"/>
    </row>
    <row r="44" spans="1:4" s="4" customFormat="1" x14ac:dyDescent="0.2">
      <c r="A44" s="370"/>
      <c r="B44" s="370"/>
      <c r="C44" s="370"/>
    </row>
    <row r="45" spans="1:4" s="2" customFormat="1" ht="26.25" customHeight="1" x14ac:dyDescent="0.2">
      <c r="A45" s="92">
        <v>1</v>
      </c>
      <c r="B45" s="356" t="s">
        <v>438</v>
      </c>
      <c r="C45" s="366"/>
    </row>
    <row r="46" spans="1:4" s="2" customFormat="1" ht="25.5" x14ac:dyDescent="0.2">
      <c r="A46" s="92"/>
      <c r="B46" s="372" t="s">
        <v>448</v>
      </c>
      <c r="C46" s="373"/>
      <c r="D46" s="253" t="s">
        <v>445</v>
      </c>
    </row>
    <row r="47" spans="1:4" s="2" customFormat="1" ht="27" customHeight="1" x14ac:dyDescent="0.2">
      <c r="A47" s="92">
        <v>2</v>
      </c>
      <c r="B47" s="356" t="s">
        <v>439</v>
      </c>
      <c r="C47" s="366"/>
    </row>
    <row r="48" spans="1:4" s="2" customFormat="1" x14ac:dyDescent="0.2">
      <c r="A48" s="92">
        <v>3</v>
      </c>
      <c r="B48" s="356" t="s">
        <v>66</v>
      </c>
      <c r="C48" s="366"/>
    </row>
    <row r="49" spans="1:4" s="2" customFormat="1" ht="37.5" customHeight="1" x14ac:dyDescent="0.2">
      <c r="A49" s="61" t="s">
        <v>116</v>
      </c>
      <c r="B49" s="356" t="s">
        <v>227</v>
      </c>
      <c r="C49" s="356"/>
    </row>
    <row r="50" spans="1:4" s="2" customFormat="1" ht="15" customHeight="1" x14ac:dyDescent="0.2">
      <c r="A50" s="61" t="s">
        <v>117</v>
      </c>
      <c r="B50" s="356" t="s">
        <v>124</v>
      </c>
      <c r="C50" s="356"/>
    </row>
    <row r="51" spans="1:4" s="2" customFormat="1" ht="18.75" customHeight="1" x14ac:dyDescent="0.2">
      <c r="A51" s="61" t="s">
        <v>118</v>
      </c>
      <c r="B51" s="356" t="s">
        <v>228</v>
      </c>
      <c r="C51" s="356"/>
    </row>
    <row r="52" spans="1:4" s="2" customFormat="1" ht="28.5" customHeight="1" x14ac:dyDescent="0.2">
      <c r="A52" s="61" t="s">
        <v>125</v>
      </c>
      <c r="B52" s="356" t="s">
        <v>229</v>
      </c>
      <c r="C52" s="356"/>
    </row>
    <row r="53" spans="1:4" s="2" customFormat="1" ht="17.25" customHeight="1" x14ac:dyDescent="0.2">
      <c r="A53" s="61" t="s">
        <v>126</v>
      </c>
      <c r="B53" s="356" t="s">
        <v>230</v>
      </c>
      <c r="C53" s="356"/>
    </row>
    <row r="54" spans="1:4" s="2" customFormat="1" ht="16.5" customHeight="1" x14ac:dyDescent="0.2">
      <c r="A54" s="92">
        <v>4</v>
      </c>
      <c r="B54" s="356" t="s">
        <v>450</v>
      </c>
      <c r="C54" s="366"/>
    </row>
    <row r="55" spans="1:4" s="2" customFormat="1" ht="26.25" customHeight="1" x14ac:dyDescent="0.2">
      <c r="A55" s="61" t="s">
        <v>120</v>
      </c>
      <c r="B55" s="356" t="s">
        <v>451</v>
      </c>
      <c r="C55" s="356"/>
    </row>
    <row r="56" spans="1:4" s="2" customFormat="1" ht="27.75" customHeight="1" x14ac:dyDescent="0.2">
      <c r="A56" s="344"/>
      <c r="B56" s="345" t="s">
        <v>92</v>
      </c>
      <c r="C56" s="74" t="s">
        <v>243</v>
      </c>
    </row>
    <row r="57" spans="1:4" s="2" customFormat="1" ht="27.75" customHeight="1" x14ac:dyDescent="0.2">
      <c r="A57" s="344"/>
      <c r="B57" s="59" t="s">
        <v>93</v>
      </c>
      <c r="C57" s="74" t="s">
        <v>244</v>
      </c>
    </row>
    <row r="58" spans="1:4" s="2" customFormat="1" ht="27.75" customHeight="1" x14ac:dyDescent="0.2">
      <c r="A58" s="344"/>
      <c r="B58" s="60" t="s">
        <v>94</v>
      </c>
      <c r="C58" s="74" t="s">
        <v>245</v>
      </c>
    </row>
    <row r="59" spans="1:4" s="2" customFormat="1" ht="25.5" customHeight="1" x14ac:dyDescent="0.2">
      <c r="A59" s="61" t="s">
        <v>121</v>
      </c>
      <c r="B59" s="356" t="s">
        <v>452</v>
      </c>
      <c r="C59" s="356"/>
    </row>
    <row r="60" spans="1:4" s="133" customFormat="1" ht="14.25" customHeight="1" x14ac:dyDescent="0.2">
      <c r="A60" s="61" t="s">
        <v>122</v>
      </c>
      <c r="B60" s="365" t="s">
        <v>453</v>
      </c>
      <c r="C60" s="365"/>
    </row>
    <row r="61" spans="1:4" s="133" customFormat="1" ht="16.5" customHeight="1" x14ac:dyDescent="0.2">
      <c r="A61" s="346">
        <v>5</v>
      </c>
      <c r="B61" s="173" t="s">
        <v>218</v>
      </c>
      <c r="C61" s="174"/>
    </row>
    <row r="62" spans="1:4" s="133" customFormat="1" ht="27.75" customHeight="1" x14ac:dyDescent="0.2">
      <c r="A62" s="347" t="s">
        <v>175</v>
      </c>
      <c r="B62" s="357" t="s">
        <v>221</v>
      </c>
      <c r="C62" s="358"/>
    </row>
    <row r="63" spans="1:4" s="2" customFormat="1" ht="13.5" customHeight="1" x14ac:dyDescent="0.2">
      <c r="A63" s="92">
        <v>6</v>
      </c>
      <c r="B63" s="359" t="s">
        <v>174</v>
      </c>
      <c r="C63" s="359"/>
    </row>
    <row r="64" spans="1:4" s="2" customFormat="1" ht="27.75" customHeight="1" x14ac:dyDescent="0.2">
      <c r="A64" s="61" t="s">
        <v>219</v>
      </c>
      <c r="B64" s="356" t="s">
        <v>225</v>
      </c>
      <c r="C64" s="356"/>
      <c r="D64" s="25"/>
    </row>
    <row r="65" spans="1:4" s="2" customFormat="1" ht="14.25" customHeight="1" x14ac:dyDescent="0.2">
      <c r="A65" s="61"/>
      <c r="B65" s="332"/>
      <c r="C65" s="332"/>
    </row>
    <row r="66" spans="1:4" ht="13.5" thickBot="1" x14ac:dyDescent="0.25"/>
    <row r="67" spans="1:4" ht="13.5" thickBot="1" x14ac:dyDescent="0.25">
      <c r="B67" s="360" t="s">
        <v>224</v>
      </c>
      <c r="C67" s="361"/>
    </row>
    <row r="68" spans="1:4" x14ac:dyDescent="0.2">
      <c r="B68" s="17" t="s">
        <v>41</v>
      </c>
      <c r="C68" s="26" t="str">
        <f ca="1">INDIRECT("'Change History'!$A$3")</f>
        <v>7.1.0</v>
      </c>
      <c r="D68" s="194"/>
    </row>
    <row r="69" spans="1:4" x14ac:dyDescent="0.2">
      <c r="B69" s="18" t="s">
        <v>42</v>
      </c>
      <c r="C69" s="246">
        <f>'Change History'!B46</f>
        <v>41596</v>
      </c>
    </row>
    <row r="70" spans="1:4" x14ac:dyDescent="0.2">
      <c r="B70" s="18" t="s">
        <v>43</v>
      </c>
      <c r="C70" s="246">
        <f ca="1">INDIRECT("'Change History'!$B$3")</f>
        <v>42913</v>
      </c>
    </row>
    <row r="71" spans="1:4" ht="13.5" thickBot="1" x14ac:dyDescent="0.25">
      <c r="B71" s="27" t="s">
        <v>16</v>
      </c>
      <c r="C71" s="28" t="str">
        <f ca="1">INDIRECT("'Change History'!$D$3")</f>
        <v>Ted Hills</v>
      </c>
    </row>
    <row r="73" spans="1:4" x14ac:dyDescent="0.2">
      <c r="C73" s="42"/>
      <c r="D73" s="348"/>
    </row>
    <row r="74" spans="1:4" x14ac:dyDescent="0.2">
      <c r="C74" s="42"/>
      <c r="D74" s="348"/>
    </row>
    <row r="75" spans="1:4" ht="21" thickBot="1" x14ac:dyDescent="0.25">
      <c r="A75" s="362" t="s">
        <v>484</v>
      </c>
      <c r="B75" s="363"/>
      <c r="C75" s="364"/>
      <c r="D75" s="348"/>
    </row>
    <row r="76" spans="1:4" x14ac:dyDescent="0.2">
      <c r="B76" s="42"/>
      <c r="C76" s="42"/>
      <c r="D76" s="348"/>
    </row>
    <row r="77" spans="1:4" ht="38.25" x14ac:dyDescent="0.2">
      <c r="B77" s="42" t="s">
        <v>488</v>
      </c>
      <c r="C77" s="43"/>
      <c r="D77" s="348"/>
    </row>
    <row r="78" spans="1:4" x14ac:dyDescent="0.2">
      <c r="B78" s="278" t="s">
        <v>485</v>
      </c>
      <c r="C78" s="42"/>
      <c r="D78" s="348"/>
    </row>
    <row r="79" spans="1:4" x14ac:dyDescent="0.2">
      <c r="B79" s="59" t="s">
        <v>486</v>
      </c>
      <c r="C79" s="42"/>
      <c r="D79" s="349"/>
    </row>
    <row r="80" spans="1:4" x14ac:dyDescent="0.2">
      <c r="B80" s="60" t="s">
        <v>487</v>
      </c>
      <c r="C80" s="42"/>
      <c r="D80" s="348"/>
    </row>
    <row r="81" spans="1:4" x14ac:dyDescent="0.2">
      <c r="B81" s="281" t="s">
        <v>29</v>
      </c>
      <c r="C81" s="42" t="s">
        <v>489</v>
      </c>
      <c r="D81" s="348"/>
    </row>
    <row r="82" spans="1:4" x14ac:dyDescent="0.2">
      <c r="C82" s="42"/>
      <c r="D82" s="348"/>
    </row>
    <row r="83" spans="1:4" ht="25.5" x14ac:dyDescent="0.2">
      <c r="B83" s="42" t="s">
        <v>493</v>
      </c>
      <c r="C83" s="42"/>
      <c r="D83" s="348"/>
    </row>
    <row r="84" spans="1:4" x14ac:dyDescent="0.2">
      <c r="B84" s="278" t="s">
        <v>28</v>
      </c>
      <c r="C84" s="42"/>
      <c r="D84" s="348"/>
    </row>
    <row r="85" spans="1:4" x14ac:dyDescent="0.2">
      <c r="B85" s="60" t="s">
        <v>490</v>
      </c>
      <c r="C85" s="42"/>
      <c r="D85" s="348"/>
    </row>
    <row r="86" spans="1:4" x14ac:dyDescent="0.2">
      <c r="B86" s="282" t="s">
        <v>491</v>
      </c>
      <c r="D86" s="348"/>
    </row>
    <row r="87" spans="1:4" x14ac:dyDescent="0.2">
      <c r="B87" s="59" t="s">
        <v>492</v>
      </c>
      <c r="D87" s="348"/>
    </row>
    <row r="88" spans="1:4" x14ac:dyDescent="0.2">
      <c r="B88" s="281" t="s">
        <v>546</v>
      </c>
      <c r="C88" s="42"/>
      <c r="D88" s="348"/>
    </row>
    <row r="89" spans="1:4" x14ac:dyDescent="0.2">
      <c r="D89" s="348"/>
    </row>
    <row r="90" spans="1:4" x14ac:dyDescent="0.2">
      <c r="A90" s="61"/>
      <c r="B90" s="356" t="s">
        <v>500</v>
      </c>
      <c r="C90" s="356"/>
      <c r="D90" s="348"/>
    </row>
    <row r="91" spans="1:4" ht="15" x14ac:dyDescent="0.2">
      <c r="A91" s="288" t="s">
        <v>501</v>
      </c>
      <c r="B91" s="289" t="s">
        <v>502</v>
      </c>
      <c r="C91" s="290" t="s">
        <v>503</v>
      </c>
      <c r="D91" s="348"/>
    </row>
    <row r="92" spans="1:4" ht="15" x14ac:dyDescent="0.2">
      <c r="A92" s="288">
        <v>1</v>
      </c>
      <c r="B92" s="291" t="s">
        <v>498</v>
      </c>
      <c r="C92" s="292" t="s">
        <v>679</v>
      </c>
      <c r="D92" s="348"/>
    </row>
    <row r="93" spans="1:4" ht="15" x14ac:dyDescent="0.2">
      <c r="A93" s="288">
        <v>2</v>
      </c>
      <c r="B93" s="291" t="s">
        <v>581</v>
      </c>
      <c r="C93" s="292" t="s">
        <v>677</v>
      </c>
      <c r="D93" s="348"/>
    </row>
    <row r="94" spans="1:4" ht="15" x14ac:dyDescent="0.2">
      <c r="A94" s="288">
        <v>3</v>
      </c>
      <c r="B94" s="291" t="s">
        <v>661</v>
      </c>
      <c r="C94" s="292" t="s">
        <v>678</v>
      </c>
      <c r="D94" s="348"/>
    </row>
    <row r="95" spans="1:4" ht="15" x14ac:dyDescent="0.2">
      <c r="A95" s="288">
        <v>4</v>
      </c>
      <c r="B95" s="291" t="s">
        <v>504</v>
      </c>
      <c r="C95" s="292" t="s">
        <v>676</v>
      </c>
      <c r="D95" s="348"/>
    </row>
    <row r="96" spans="1:4" x14ac:dyDescent="0.2">
      <c r="C96" s="42"/>
      <c r="D96" s="348"/>
    </row>
    <row r="97" spans="3:4" x14ac:dyDescent="0.2">
      <c r="C97" s="42"/>
      <c r="D97" s="348"/>
    </row>
    <row r="98" spans="3:4" x14ac:dyDescent="0.2">
      <c r="D98" s="348"/>
    </row>
    <row r="99" spans="3:4" x14ac:dyDescent="0.2">
      <c r="C99" s="42"/>
      <c r="D99" s="348"/>
    </row>
    <row r="100" spans="3:4" x14ac:dyDescent="0.2">
      <c r="C100" s="42"/>
      <c r="D100" s="348"/>
    </row>
    <row r="101" spans="3:4" x14ac:dyDescent="0.2">
      <c r="D101" s="348"/>
    </row>
    <row r="102" spans="3:4" x14ac:dyDescent="0.2">
      <c r="D102" s="348"/>
    </row>
    <row r="103" spans="3:4" x14ac:dyDescent="0.2">
      <c r="C103" s="42"/>
      <c r="D103" s="348"/>
    </row>
    <row r="104" spans="3:4" x14ac:dyDescent="0.2">
      <c r="C104" s="42"/>
      <c r="D104" s="348"/>
    </row>
    <row r="105" spans="3:4" x14ac:dyDescent="0.2">
      <c r="C105" s="42"/>
      <c r="D105" s="348"/>
    </row>
    <row r="106" spans="3:4" x14ac:dyDescent="0.2">
      <c r="C106" s="42"/>
      <c r="D106" s="348"/>
    </row>
    <row r="107" spans="3:4" x14ac:dyDescent="0.2">
      <c r="C107" s="42"/>
      <c r="D107" s="348"/>
    </row>
    <row r="108" spans="3:4" x14ac:dyDescent="0.2">
      <c r="C108" s="42"/>
      <c r="D108" s="348"/>
    </row>
  </sheetData>
  <mergeCells count="43">
    <mergeCell ref="A1:C1"/>
    <mergeCell ref="A2:C2"/>
    <mergeCell ref="B45:C45"/>
    <mergeCell ref="B4:C4"/>
    <mergeCell ref="B34:C34"/>
    <mergeCell ref="B7:C7"/>
    <mergeCell ref="B9:C9"/>
    <mergeCell ref="B29:C29"/>
    <mergeCell ref="A3:C3"/>
    <mergeCell ref="B12:C12"/>
    <mergeCell ref="B17:C17"/>
    <mergeCell ref="B8:C8"/>
    <mergeCell ref="B55:C55"/>
    <mergeCell ref="B6:C6"/>
    <mergeCell ref="B32:C32"/>
    <mergeCell ref="B35:C35"/>
    <mergeCell ref="B19:C19"/>
    <mergeCell ref="B20:C20"/>
    <mergeCell ref="B22:C22"/>
    <mergeCell ref="B23:C23"/>
    <mergeCell ref="B28:C28"/>
    <mergeCell ref="B30:C30"/>
    <mergeCell ref="B33:C33"/>
    <mergeCell ref="B36:C36"/>
    <mergeCell ref="B46:C46"/>
    <mergeCell ref="B50:C50"/>
    <mergeCell ref="B51:C51"/>
    <mergeCell ref="B52:C52"/>
    <mergeCell ref="B53:C53"/>
    <mergeCell ref="B54:C54"/>
    <mergeCell ref="B47:C47"/>
    <mergeCell ref="B48:C48"/>
    <mergeCell ref="A43:C43"/>
    <mergeCell ref="A44:C44"/>
    <mergeCell ref="B49:C49"/>
    <mergeCell ref="B90:C90"/>
    <mergeCell ref="B59:C59"/>
    <mergeCell ref="B62:C62"/>
    <mergeCell ref="B63:C63"/>
    <mergeCell ref="B64:C64"/>
    <mergeCell ref="B67:C67"/>
    <mergeCell ref="A75:C75"/>
    <mergeCell ref="B60:C60"/>
  </mergeCells>
  <phoneticPr fontId="2" type="noConversion"/>
  <hyperlinks>
    <hyperlink ref="D17" r:id="rId1" location="Scorecard_Profiles"/>
    <hyperlink ref="D12" r:id="rId2" display="Governance Levels for System Assets"/>
    <hyperlink ref="D28" r:id="rId3"/>
    <hyperlink ref="D46" r:id="rId4"/>
  </hyperlinks>
  <pageMargins left="0.75" right="0.75" top="1" bottom="1" header="0.5" footer="0.5"/>
  <pageSetup scale="97" fitToHeight="100" orientation="landscape" r:id="rId5"/>
  <headerFooter alignWithMargins="0">
    <oddHeader>&amp;L&amp;F&amp;C&amp;A&amp;R&amp;D</oddHeader>
    <oddFooter>&amp;C&amp;P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InitFromPrev">
                <anchor moveWithCells="1" sizeWithCells="1">
                  <from>
                    <xdr:col>2</xdr:col>
                    <xdr:colOff>6715125</xdr:colOff>
                    <xdr:row>3</xdr:row>
                    <xdr:rowOff>0</xdr:rowOff>
                  </from>
                  <to>
                    <xdr:col>4</xdr:col>
                    <xdr:colOff>0</xdr:colOff>
                    <xdr:row>3</xdr:row>
                    <xdr:rowOff>790575</xdr:rowOff>
                  </to>
                </anchor>
              </controlPr>
            </control>
          </mc:Choice>
        </mc:AlternateContent>
        <mc:AlternateContent xmlns:mc="http://schemas.openxmlformats.org/markup-compatibility/2006">
          <mc:Choice Requires="x14">
            <control shapeId="3076" r:id="rId9" name="Button 4">
              <controlPr defaultSize="0" print="0" autoFill="0" autoPict="0" macro="[0]!InitFromPrev">
                <anchor moveWithCells="1" sizeWithCells="1">
                  <from>
                    <xdr:col>2</xdr:col>
                    <xdr:colOff>6715125</xdr:colOff>
                    <xdr:row>3</xdr:row>
                    <xdr:rowOff>0</xdr:rowOff>
                  </from>
                  <to>
                    <xdr:col>4</xdr:col>
                    <xdr:colOff>0</xdr:colOff>
                    <xdr:row>3</xdr:row>
                    <xdr:rowOff>790575</xdr:rowOff>
                  </to>
                </anchor>
              </controlPr>
            </control>
          </mc:Choice>
        </mc:AlternateContent>
        <mc:AlternateContent xmlns:mc="http://schemas.openxmlformats.org/markup-compatibility/2006">
          <mc:Choice Requires="x14">
            <control shapeId="3079" r:id="rId10" name="Button 7">
              <controlPr defaultSize="0" print="0" autoFill="0" autoPict="0">
                <anchor moveWithCells="1" sizeWithCells="1">
                  <from>
                    <xdr:col>2</xdr:col>
                    <xdr:colOff>6715125</xdr:colOff>
                    <xdr:row>3</xdr:row>
                    <xdr:rowOff>0</xdr:rowOff>
                  </from>
                  <to>
                    <xdr:col>4</xdr:col>
                    <xdr:colOff>0</xdr:colOff>
                    <xdr:row>3</xdr:row>
                    <xdr:rowOff>790575</xdr:rowOff>
                  </to>
                </anchor>
              </controlPr>
            </control>
          </mc:Choice>
        </mc:AlternateContent>
        <mc:AlternateContent xmlns:mc="http://schemas.openxmlformats.org/markup-compatibility/2006">
          <mc:Choice Requires="x14">
            <control shapeId="3080" r:id="rId11" name="Button 8">
              <controlPr defaultSize="0" print="0" autoFill="0" autoPict="0" macro="[0]!UpdateScorecard">
                <anchor moveWithCells="1" sizeWithCells="1">
                  <from>
                    <xdr:col>3</xdr:col>
                    <xdr:colOff>19050</xdr:colOff>
                    <xdr:row>48</xdr:row>
                    <xdr:rowOff>0</xdr:rowOff>
                  </from>
                  <to>
                    <xdr:col>3</xdr:col>
                    <xdr:colOff>876300</xdr:colOff>
                    <xdr:row>49</xdr:row>
                    <xdr:rowOff>0</xdr:rowOff>
                  </to>
                </anchor>
              </controlPr>
            </control>
          </mc:Choice>
        </mc:AlternateContent>
        <mc:AlternateContent xmlns:mc="http://schemas.openxmlformats.org/markup-compatibility/2006">
          <mc:Choice Requires="x14">
            <control shapeId="3081" r:id="rId12" name="Button 9">
              <controlPr defaultSize="0" print="0" autoFill="0" autoPict="0" macro="[0]!SerializeToJSON">
                <anchor moveWithCells="1" sizeWithCells="1">
                  <from>
                    <xdr:col>3</xdr:col>
                    <xdr:colOff>123825</xdr:colOff>
                    <xdr:row>62</xdr:row>
                    <xdr:rowOff>123825</xdr:rowOff>
                  </from>
                  <to>
                    <xdr:col>3</xdr:col>
                    <xdr:colOff>904875</xdr:colOff>
                    <xdr:row>64</xdr:row>
                    <xdr:rowOff>0</xdr:rowOff>
                  </to>
                </anchor>
              </controlPr>
            </control>
          </mc:Choice>
        </mc:AlternateContent>
        <mc:AlternateContent xmlns:mc="http://schemas.openxmlformats.org/markup-compatibility/2006">
          <mc:Choice Requires="x14">
            <control shapeId="3082" r:id="rId13" name="Button 10">
              <controlPr defaultSize="0" print="0" autoFill="0" autoPict="0" macro="[0]!InitFromPrev">
                <anchor moveWithCells="1" sizeWithCells="1">
                  <from>
                    <xdr:col>2</xdr:col>
                    <xdr:colOff>6715125</xdr:colOff>
                    <xdr:row>3</xdr:row>
                    <xdr:rowOff>0</xdr:rowOff>
                  </from>
                  <to>
                    <xdr:col>4</xdr:col>
                    <xdr:colOff>0</xdr:colOff>
                    <xdr:row>3</xdr:row>
                    <xdr:rowOff>790575</xdr:rowOff>
                  </to>
                </anchor>
              </controlPr>
            </control>
          </mc:Choice>
        </mc:AlternateContent>
        <mc:AlternateContent xmlns:mc="http://schemas.openxmlformats.org/markup-compatibility/2006">
          <mc:Choice Requires="x14">
            <control shapeId="3084" r:id="rId14" name="Button 12">
              <controlPr defaultSize="0" print="0" autoFill="0" autoPict="0" macro="[0]!DownloadScorecardFromGlitz">
                <anchor moveWithCells="1">
                  <from>
                    <xdr:col>3</xdr:col>
                    <xdr:colOff>9525</xdr:colOff>
                    <xdr:row>6</xdr:row>
                    <xdr:rowOff>38100</xdr:rowOff>
                  </from>
                  <to>
                    <xdr:col>4</xdr:col>
                    <xdr:colOff>0</xdr:colOff>
                    <xdr:row>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Z42"/>
  <sheetViews>
    <sheetView tabSelected="1" zoomScaleNormal="100" workbookViewId="0">
      <selection activeCell="B3" sqref="B3"/>
    </sheetView>
  </sheetViews>
  <sheetFormatPr defaultRowHeight="12.75" x14ac:dyDescent="0.2"/>
  <cols>
    <col min="1" max="1" width="13" customWidth="1"/>
    <col min="2" max="2" width="12.85546875" customWidth="1"/>
    <col min="3" max="3" width="16.7109375" customWidth="1"/>
    <col min="4" max="4" width="15" customWidth="1"/>
    <col min="5" max="5" width="16.7109375" customWidth="1"/>
    <col min="6" max="6" width="16.140625" customWidth="1"/>
    <col min="7" max="7" width="10.28515625" customWidth="1"/>
    <col min="8" max="8" width="13" customWidth="1"/>
    <col min="9" max="9" width="14.140625" customWidth="1"/>
    <col min="10" max="10" width="14.85546875" customWidth="1"/>
    <col min="11" max="12" width="14.7109375" customWidth="1"/>
    <col min="13" max="14" width="14.7109375" hidden="1" customWidth="1"/>
    <col min="15" max="15" width="14.7109375" customWidth="1"/>
    <col min="25" max="25" width="84.140625" style="334" customWidth="1"/>
    <col min="26" max="26" width="68.5703125" style="334" customWidth="1"/>
  </cols>
  <sheetData>
    <row r="1" spans="1:26" ht="18.75" x14ac:dyDescent="0.3">
      <c r="A1" s="442" t="s">
        <v>285</v>
      </c>
      <c r="B1" s="442"/>
      <c r="C1" s="442"/>
      <c r="D1" s="442"/>
      <c r="E1" s="442"/>
      <c r="F1" s="442"/>
      <c r="G1" s="442"/>
      <c r="H1" s="442"/>
      <c r="I1" s="442"/>
      <c r="J1" s="442"/>
      <c r="K1" s="442"/>
      <c r="L1" s="442"/>
    </row>
    <row r="2" spans="1:26" s="4" customFormat="1" ht="14.25" customHeight="1" x14ac:dyDescent="0.3">
      <c r="A2" s="14"/>
      <c r="B2" s="14"/>
      <c r="C2" s="21"/>
      <c r="D2" s="21"/>
      <c r="E2" s="22"/>
      <c r="F2" s="15"/>
      <c r="G2" s="15"/>
      <c r="H2" s="15"/>
      <c r="I2" s="15"/>
      <c r="J2" s="15"/>
      <c r="Y2" s="168"/>
      <c r="Z2" s="168"/>
    </row>
    <row r="3" spans="1:26" s="4" customFormat="1" ht="52.5" customHeight="1" x14ac:dyDescent="0.2">
      <c r="A3" s="196" t="s">
        <v>286</v>
      </c>
      <c r="B3" s="225" t="s">
        <v>106</v>
      </c>
      <c r="C3" s="449" t="s">
        <v>105</v>
      </c>
      <c r="D3" s="450"/>
      <c r="E3" s="451"/>
      <c r="F3" s="429" t="s">
        <v>84</v>
      </c>
      <c r="G3" s="430"/>
      <c r="H3" s="430"/>
      <c r="I3" s="430"/>
      <c r="J3" s="431"/>
      <c r="K3" s="245" t="s">
        <v>276</v>
      </c>
      <c r="L3" s="244" t="s">
        <v>275</v>
      </c>
      <c r="M3" s="77"/>
      <c r="Q3"/>
      <c r="Y3" s="168"/>
      <c r="Z3" s="168"/>
    </row>
    <row r="4" spans="1:26" ht="19.5" customHeight="1" x14ac:dyDescent="0.3">
      <c r="A4" s="415" t="s">
        <v>15</v>
      </c>
      <c r="B4" s="416"/>
      <c r="C4" s="416"/>
      <c r="D4" s="416"/>
      <c r="E4" s="416"/>
      <c r="F4" s="416"/>
      <c r="G4" s="416"/>
      <c r="H4" s="416"/>
      <c r="I4" s="416"/>
      <c r="J4" s="416"/>
      <c r="K4" s="416"/>
      <c r="L4" s="416"/>
      <c r="M4" s="78"/>
    </row>
    <row r="5" spans="1:26" s="23" customFormat="1" ht="30.75" customHeight="1" x14ac:dyDescent="0.2">
      <c r="A5" s="79" t="s">
        <v>14</v>
      </c>
      <c r="B5" s="79" t="s">
        <v>287</v>
      </c>
      <c r="C5" s="79" t="s">
        <v>206</v>
      </c>
      <c r="D5" s="142" t="s">
        <v>207</v>
      </c>
      <c r="E5" s="79" t="s">
        <v>208</v>
      </c>
      <c r="F5" s="143" t="s">
        <v>209</v>
      </c>
      <c r="G5" s="79" t="s">
        <v>21</v>
      </c>
      <c r="H5" s="452"/>
      <c r="I5" s="453"/>
      <c r="J5" s="79" t="s">
        <v>80</v>
      </c>
      <c r="K5" s="79" t="s">
        <v>81</v>
      </c>
      <c r="L5" s="79" t="s">
        <v>82</v>
      </c>
      <c r="Y5" s="169"/>
      <c r="Z5" s="169"/>
    </row>
    <row r="6" spans="1:26" s="220" customFormat="1" ht="24.75" customHeight="1" x14ac:dyDescent="0.2">
      <c r="A6" s="146"/>
      <c r="B6" s="301">
        <v>0</v>
      </c>
      <c r="C6" s="144">
        <v>0</v>
      </c>
      <c r="D6" s="145" t="s">
        <v>137</v>
      </c>
      <c r="E6" s="147">
        <v>0</v>
      </c>
      <c r="F6" s="183" t="s">
        <v>138</v>
      </c>
      <c r="G6" s="148"/>
      <c r="H6" s="454"/>
      <c r="I6" s="455"/>
      <c r="J6" s="87">
        <v>0</v>
      </c>
      <c r="K6" s="88">
        <v>0</v>
      </c>
      <c r="L6" s="89">
        <v>0</v>
      </c>
      <c r="M6" s="217"/>
      <c r="N6" s="218"/>
      <c r="O6" s="219"/>
      <c r="Y6" s="170"/>
      <c r="Z6" s="170"/>
    </row>
    <row r="7" spans="1:26" s="24" customFormat="1" ht="26.25" customHeight="1" x14ac:dyDescent="0.2">
      <c r="A7" s="443" t="s">
        <v>22</v>
      </c>
      <c r="B7" s="444"/>
      <c r="C7" s="445"/>
      <c r="D7" s="446"/>
      <c r="E7" s="447"/>
      <c r="F7" s="447"/>
      <c r="G7" s="447"/>
      <c r="H7" s="447"/>
      <c r="I7" s="447"/>
      <c r="J7" s="447"/>
      <c r="K7" s="447"/>
      <c r="L7" s="448"/>
      <c r="M7" s="77"/>
      <c r="N7" s="4"/>
      <c r="O7"/>
      <c r="P7"/>
      <c r="Q7"/>
      <c r="R7"/>
      <c r="S7"/>
      <c r="T7"/>
      <c r="U7"/>
      <c r="V7"/>
      <c r="W7"/>
      <c r="X7"/>
      <c r="Y7" s="334"/>
      <c r="Z7" s="170"/>
    </row>
    <row r="8" spans="1:26" s="4" customFormat="1" ht="24" customHeight="1" x14ac:dyDescent="0.2">
      <c r="A8" s="426" t="s">
        <v>85</v>
      </c>
      <c r="B8" s="427"/>
      <c r="C8" s="428"/>
      <c r="D8" s="429"/>
      <c r="E8" s="430"/>
      <c r="F8" s="430"/>
      <c r="G8" s="430"/>
      <c r="H8" s="430"/>
      <c r="I8" s="430"/>
      <c r="J8" s="430"/>
      <c r="K8" s="430"/>
      <c r="L8" s="431"/>
      <c r="M8" s="77"/>
      <c r="Y8" s="168"/>
      <c r="Z8" s="168"/>
    </row>
    <row r="9" spans="1:26" s="4" customFormat="1" ht="21" customHeight="1" x14ac:dyDescent="0.2">
      <c r="A9" s="426" t="s">
        <v>210</v>
      </c>
      <c r="B9" s="427"/>
      <c r="C9" s="428"/>
      <c r="D9" s="438" t="s">
        <v>497</v>
      </c>
      <c r="E9" s="439"/>
      <c r="F9" s="435"/>
      <c r="G9" s="436"/>
      <c r="H9" s="436"/>
      <c r="I9" s="436"/>
      <c r="J9" s="436"/>
      <c r="K9" s="436"/>
      <c r="L9" s="437"/>
      <c r="M9" s="77"/>
      <c r="Y9" s="168"/>
      <c r="Z9" s="168"/>
    </row>
    <row r="10" spans="1:26" s="4" customFormat="1" ht="19.5" customHeight="1" thickBot="1" x14ac:dyDescent="0.35">
      <c r="A10" s="407" t="s">
        <v>127</v>
      </c>
      <c r="B10" s="408"/>
      <c r="C10" s="408"/>
      <c r="D10" s="408"/>
      <c r="E10" s="408"/>
      <c r="F10" s="408"/>
      <c r="G10" s="408"/>
      <c r="H10" s="408"/>
      <c r="I10" s="408"/>
      <c r="J10" s="408"/>
      <c r="K10" s="408"/>
      <c r="L10" s="408"/>
      <c r="M10" s="77"/>
      <c r="N10" s="135"/>
      <c r="Y10" s="168"/>
      <c r="Z10" s="168"/>
    </row>
    <row r="11" spans="1:26" s="152" customFormat="1" ht="19.5" customHeight="1" thickBot="1" x14ac:dyDescent="0.3">
      <c r="A11" s="412" t="s">
        <v>97</v>
      </c>
      <c r="B11" s="412"/>
      <c r="C11" s="153" t="s">
        <v>100</v>
      </c>
      <c r="D11" s="459" t="s">
        <v>95</v>
      </c>
      <c r="E11" s="460"/>
      <c r="F11" s="461"/>
      <c r="G11" s="459" t="s">
        <v>523</v>
      </c>
      <c r="H11" s="460"/>
      <c r="I11" s="460"/>
      <c r="J11" s="461"/>
      <c r="K11" s="331" t="s">
        <v>561</v>
      </c>
      <c r="L11" s="331" t="s">
        <v>562</v>
      </c>
      <c r="M11" s="150"/>
      <c r="N11" s="151"/>
      <c r="Y11" s="172"/>
      <c r="Z11" s="172"/>
    </row>
    <row r="12" spans="1:26" s="135" customFormat="1" ht="45" customHeight="1" thickBot="1" x14ac:dyDescent="0.25">
      <c r="A12" s="413" t="s">
        <v>96</v>
      </c>
      <c r="B12" s="413"/>
      <c r="C12" s="149"/>
      <c r="D12" s="456"/>
      <c r="E12" s="457"/>
      <c r="F12" s="458"/>
      <c r="G12" s="456"/>
      <c r="H12" s="457"/>
      <c r="I12" s="457"/>
      <c r="J12" s="458"/>
      <c r="K12" s="82">
        <f>D19</f>
        <v>0</v>
      </c>
      <c r="L12" s="82">
        <f>E19</f>
        <v>0</v>
      </c>
      <c r="M12" s="134"/>
      <c r="N12" s="135" t="s">
        <v>424</v>
      </c>
      <c r="Y12" s="167"/>
      <c r="Z12" s="167"/>
    </row>
    <row r="13" spans="1:26" s="135" customFormat="1" ht="45" customHeight="1" thickBot="1" x14ac:dyDescent="0.25">
      <c r="A13" s="413" t="s">
        <v>581</v>
      </c>
      <c r="B13" s="413"/>
      <c r="C13" s="149"/>
      <c r="D13" s="456"/>
      <c r="E13" s="457"/>
      <c r="F13" s="458"/>
      <c r="G13" s="456"/>
      <c r="H13" s="457"/>
      <c r="I13" s="457"/>
      <c r="J13" s="458"/>
      <c r="K13" s="82">
        <f>D20+D21</f>
        <v>0</v>
      </c>
      <c r="L13" s="82">
        <f>E20+E21</f>
        <v>0</v>
      </c>
      <c r="M13" s="134"/>
      <c r="N13" s="135" t="s">
        <v>425</v>
      </c>
      <c r="Y13" s="167"/>
      <c r="Z13" s="167"/>
    </row>
    <row r="14" spans="1:26" s="135" customFormat="1" ht="45" customHeight="1" thickBot="1" x14ac:dyDescent="0.25">
      <c r="A14" s="413" t="s">
        <v>661</v>
      </c>
      <c r="B14" s="413"/>
      <c r="C14" s="149"/>
      <c r="D14" s="456"/>
      <c r="E14" s="457"/>
      <c r="F14" s="458"/>
      <c r="G14" s="456"/>
      <c r="H14" s="457"/>
      <c r="I14" s="457"/>
      <c r="J14" s="458"/>
      <c r="K14" s="82">
        <f>D22</f>
        <v>0</v>
      </c>
      <c r="L14" s="82">
        <f>E22</f>
        <v>0</v>
      </c>
      <c r="M14" s="134"/>
      <c r="N14" s="135" t="s">
        <v>426</v>
      </c>
      <c r="Y14" s="167"/>
      <c r="Z14" s="167"/>
    </row>
    <row r="15" spans="1:26" s="135" customFormat="1" ht="45" customHeight="1" thickBot="1" x14ac:dyDescent="0.25">
      <c r="A15" s="413" t="s">
        <v>50</v>
      </c>
      <c r="B15" s="413"/>
      <c r="C15" s="149"/>
      <c r="D15" s="456"/>
      <c r="E15" s="457"/>
      <c r="F15" s="458"/>
      <c r="G15" s="456"/>
      <c r="H15" s="457"/>
      <c r="I15" s="457"/>
      <c r="J15" s="458"/>
      <c r="K15" s="82">
        <f>D23</f>
        <v>0</v>
      </c>
      <c r="L15" s="82">
        <f>E23</f>
        <v>0</v>
      </c>
      <c r="M15" s="134"/>
      <c r="N15" s="135" t="s">
        <v>427</v>
      </c>
      <c r="Y15" s="167"/>
      <c r="Z15" s="167"/>
    </row>
    <row r="16" spans="1:26" s="4" customFormat="1" ht="21" customHeight="1" x14ac:dyDescent="0.3">
      <c r="A16" s="415" t="s">
        <v>142</v>
      </c>
      <c r="B16" s="416"/>
      <c r="C16" s="416"/>
      <c r="D16" s="416"/>
      <c r="E16" s="416"/>
      <c r="F16" s="416"/>
      <c r="G16" s="416"/>
      <c r="H16" s="416"/>
      <c r="I16" s="416"/>
      <c r="J16" s="416"/>
      <c r="K16" s="416"/>
      <c r="L16" s="416"/>
      <c r="M16" s="77"/>
      <c r="N16"/>
      <c r="Y16" s="168"/>
      <c r="Z16" s="168"/>
    </row>
    <row r="17" spans="1:26" ht="21" customHeight="1" x14ac:dyDescent="0.2">
      <c r="A17" s="417" t="s">
        <v>59</v>
      </c>
      <c r="B17" s="419" t="s">
        <v>78</v>
      </c>
      <c r="C17" s="420"/>
      <c r="D17" s="440" t="s">
        <v>242</v>
      </c>
      <c r="E17" s="441"/>
      <c r="F17" s="417" t="s">
        <v>21</v>
      </c>
      <c r="G17" s="414" t="s">
        <v>79</v>
      </c>
      <c r="H17" s="414"/>
      <c r="I17" s="414"/>
      <c r="J17" s="414"/>
      <c r="K17" s="414"/>
      <c r="L17" s="414"/>
      <c r="M17" s="80"/>
    </row>
    <row r="18" spans="1:26" ht="21" customHeight="1" x14ac:dyDescent="0.2">
      <c r="A18" s="418"/>
      <c r="B18" s="421"/>
      <c r="C18" s="422"/>
      <c r="D18" s="127" t="s">
        <v>240</v>
      </c>
      <c r="E18" s="127" t="s">
        <v>241</v>
      </c>
      <c r="F18" s="418"/>
      <c r="G18" s="414"/>
      <c r="H18" s="414"/>
      <c r="I18" s="414"/>
      <c r="J18" s="414"/>
      <c r="K18" s="414"/>
      <c r="L18" s="414"/>
    </row>
    <row r="19" spans="1:26" ht="30" customHeight="1" x14ac:dyDescent="0.2">
      <c r="A19" s="129">
        <v>1</v>
      </c>
      <c r="B19" s="410" t="s">
        <v>406</v>
      </c>
      <c r="C19" s="411"/>
      <c r="D19" s="82">
        <f>'Debt Capture'!C13</f>
        <v>0</v>
      </c>
      <c r="E19" s="82">
        <f>'Debt Capture'!D13</f>
        <v>0</v>
      </c>
      <c r="F19" s="83">
        <f>'1. Compliant Data'!$E$2</f>
        <v>0</v>
      </c>
      <c r="G19" s="402" t="str">
        <f>'1. Compliant Data'!$F$2</f>
        <v>EA Summary Comments</v>
      </c>
      <c r="H19" s="402"/>
      <c r="I19" s="402"/>
      <c r="J19" s="402"/>
      <c r="K19" s="402"/>
      <c r="L19" s="402"/>
    </row>
    <row r="20" spans="1:26" ht="30" customHeight="1" x14ac:dyDescent="0.2">
      <c r="A20" s="128">
        <v>2</v>
      </c>
      <c r="B20" s="424" t="s">
        <v>569</v>
      </c>
      <c r="C20" s="425"/>
      <c r="D20" s="82">
        <f>'Debt Capture'!C14</f>
        <v>0</v>
      </c>
      <c r="E20" s="82">
        <f>'Debt Capture'!D14</f>
        <v>0</v>
      </c>
      <c r="F20" s="84">
        <f>'2. Reliable Data'!$E$2</f>
        <v>0</v>
      </c>
      <c r="G20" s="402" t="str">
        <f>'2. Reliable Data'!$F$2</f>
        <v>EA Summary Comments</v>
      </c>
      <c r="H20" s="402"/>
      <c r="I20" s="402"/>
      <c r="J20" s="402"/>
      <c r="K20" s="402"/>
      <c r="L20" s="402"/>
    </row>
    <row r="21" spans="1:26" ht="30" customHeight="1" x14ac:dyDescent="0.2">
      <c r="A21" s="129">
        <v>3</v>
      </c>
      <c r="B21" s="410" t="s">
        <v>292</v>
      </c>
      <c r="C21" s="411"/>
      <c r="D21" s="82">
        <f>'Debt Capture'!C15</f>
        <v>0</v>
      </c>
      <c r="E21" s="82">
        <f>'Debt Capture'!D15</f>
        <v>0</v>
      </c>
      <c r="F21" s="84">
        <f>'3. Master Data'!$E$2</f>
        <v>0</v>
      </c>
      <c r="G21" s="402" t="str">
        <f>'3. Master Data'!$F$2</f>
        <v>EA Summary Comments</v>
      </c>
      <c r="H21" s="402"/>
      <c r="I21" s="402"/>
      <c r="J21" s="402"/>
      <c r="K21" s="402"/>
      <c r="L21" s="402"/>
    </row>
    <row r="22" spans="1:26" ht="30" customHeight="1" x14ac:dyDescent="0.2">
      <c r="A22" s="128">
        <v>4</v>
      </c>
      <c r="B22" s="424" t="s">
        <v>410</v>
      </c>
      <c r="C22" s="425"/>
      <c r="D22" s="82">
        <f>'Debt Capture'!C16</f>
        <v>0</v>
      </c>
      <c r="E22" s="82">
        <f>'Debt Capture'!D16</f>
        <v>0</v>
      </c>
      <c r="F22" s="84">
        <f>'4. Flexible Data'!$E$2</f>
        <v>0</v>
      </c>
      <c r="G22" s="402" t="str">
        <f>'4. Flexible Data'!$F$2</f>
        <v>EA Summary Comments</v>
      </c>
      <c r="H22" s="402"/>
      <c r="I22" s="402"/>
      <c r="J22" s="402"/>
      <c r="K22" s="402"/>
      <c r="L22" s="402"/>
      <c r="N22" s="86"/>
    </row>
    <row r="23" spans="1:26" ht="30" customHeight="1" x14ac:dyDescent="0.2">
      <c r="A23" s="129">
        <v>5</v>
      </c>
      <c r="B23" s="410" t="s">
        <v>408</v>
      </c>
      <c r="C23" s="411"/>
      <c r="D23" s="82">
        <f>'Debt Capture'!C17</f>
        <v>0</v>
      </c>
      <c r="E23" s="82">
        <f>'Debt Capture'!D17</f>
        <v>0</v>
      </c>
      <c r="F23" s="84">
        <f>'5. Global Data'!$E$2</f>
        <v>0</v>
      </c>
      <c r="G23" s="402" t="str">
        <f>'5. Global Data'!$F$2</f>
        <v>EA Summary Comments</v>
      </c>
      <c r="H23" s="402"/>
      <c r="I23" s="402"/>
      <c r="J23" s="402"/>
      <c r="K23" s="402"/>
      <c r="L23" s="402"/>
      <c r="N23" s="86"/>
    </row>
    <row r="24" spans="1:26" s="86" customFormat="1" ht="18.75" customHeight="1" x14ac:dyDescent="0.2">
      <c r="A24" s="400" t="s">
        <v>110</v>
      </c>
      <c r="B24" s="401"/>
      <c r="C24" s="401"/>
      <c r="D24" s="130">
        <f>SUM(D19:D22)</f>
        <v>0</v>
      </c>
      <c r="E24" s="130">
        <f>SUM(E19:E22)</f>
        <v>0</v>
      </c>
      <c r="F24" s="131"/>
      <c r="G24" s="131"/>
      <c r="H24" s="132"/>
      <c r="I24" s="399"/>
      <c r="J24" s="399"/>
      <c r="K24" s="399"/>
      <c r="L24" s="399"/>
      <c r="M24" s="123"/>
      <c r="N24"/>
      <c r="Y24" s="58"/>
      <c r="Z24" s="58"/>
    </row>
    <row r="25" spans="1:26" s="4" customFormat="1" ht="19.5" customHeight="1" x14ac:dyDescent="0.3">
      <c r="A25" s="432" t="s">
        <v>103</v>
      </c>
      <c r="B25" s="433"/>
      <c r="C25" s="433"/>
      <c r="D25" s="433"/>
      <c r="E25" s="433"/>
      <c r="F25" s="433"/>
      <c r="G25" s="433"/>
      <c r="H25" s="433"/>
      <c r="I25" s="433"/>
      <c r="J25" s="433"/>
      <c r="K25" s="433"/>
      <c r="L25" s="433"/>
      <c r="M25" s="77"/>
      <c r="Y25" s="168"/>
      <c r="Z25" s="168"/>
    </row>
    <row r="26" spans="1:26" s="155" customFormat="1" ht="19.5" customHeight="1" x14ac:dyDescent="0.25">
      <c r="A26" s="156" t="s">
        <v>141</v>
      </c>
      <c r="B26" s="434" t="s">
        <v>139</v>
      </c>
      <c r="C26" s="434"/>
      <c r="D26" s="434"/>
      <c r="E26" s="434" t="s">
        <v>140</v>
      </c>
      <c r="F26" s="434"/>
      <c r="G26" s="434"/>
      <c r="H26" s="434"/>
      <c r="I26" s="434"/>
      <c r="J26" s="434"/>
      <c r="K26" s="434"/>
      <c r="L26" s="434"/>
      <c r="M26" s="154"/>
      <c r="Y26" s="171"/>
      <c r="Z26" s="171"/>
    </row>
    <row r="27" spans="1:26" s="4" customFormat="1" x14ac:dyDescent="0.2">
      <c r="A27" s="90" t="s">
        <v>28</v>
      </c>
      <c r="B27" s="403" t="s">
        <v>474</v>
      </c>
      <c r="C27" s="404"/>
      <c r="D27" s="405"/>
      <c r="E27" s="409" t="s">
        <v>476</v>
      </c>
      <c r="F27" s="409"/>
      <c r="G27" s="409"/>
      <c r="H27" s="409"/>
      <c r="I27" s="409"/>
      <c r="J27" s="409"/>
      <c r="K27" s="409"/>
      <c r="L27" s="409"/>
      <c r="M27" s="80" t="s">
        <v>101</v>
      </c>
      <c r="N27" s="164" t="s">
        <v>478</v>
      </c>
      <c r="Y27" s="168"/>
      <c r="Z27" s="168"/>
    </row>
    <row r="28" spans="1:26" s="4" customFormat="1" x14ac:dyDescent="0.2">
      <c r="A28" s="90" t="s">
        <v>28</v>
      </c>
      <c r="B28" s="403" t="s">
        <v>475</v>
      </c>
      <c r="C28" s="404"/>
      <c r="D28" s="405"/>
      <c r="E28" s="409" t="s">
        <v>477</v>
      </c>
      <c r="F28" s="409"/>
      <c r="G28" s="409"/>
      <c r="H28" s="409"/>
      <c r="I28" s="409"/>
      <c r="J28" s="409"/>
      <c r="K28" s="409"/>
      <c r="L28" s="409"/>
      <c r="M28" s="80" t="s">
        <v>102</v>
      </c>
      <c r="N28" s="164" t="s">
        <v>479</v>
      </c>
      <c r="Y28" s="168"/>
      <c r="Z28" s="168"/>
    </row>
    <row r="29" spans="1:26" s="4" customFormat="1" x14ac:dyDescent="0.2">
      <c r="A29" s="90" t="s">
        <v>28</v>
      </c>
      <c r="B29" s="403" t="s">
        <v>279</v>
      </c>
      <c r="C29" s="404"/>
      <c r="D29" s="405"/>
      <c r="E29" s="406" t="s">
        <v>283</v>
      </c>
      <c r="F29" s="406"/>
      <c r="G29" s="406"/>
      <c r="H29" s="406"/>
      <c r="I29" s="406"/>
      <c r="J29" s="406"/>
      <c r="K29" s="406"/>
      <c r="L29" s="406"/>
      <c r="M29" s="81" t="s">
        <v>33</v>
      </c>
      <c r="N29" s="164" t="s">
        <v>288</v>
      </c>
      <c r="Y29" s="168"/>
      <c r="Z29" s="168"/>
    </row>
    <row r="30" spans="1:26" s="4" customFormat="1" x14ac:dyDescent="0.2">
      <c r="A30" s="90" t="s">
        <v>28</v>
      </c>
      <c r="B30" s="403" t="s">
        <v>278</v>
      </c>
      <c r="C30" s="404"/>
      <c r="D30" s="405"/>
      <c r="E30" s="406" t="s">
        <v>282</v>
      </c>
      <c r="F30" s="406"/>
      <c r="G30" s="406"/>
      <c r="H30" s="406"/>
      <c r="I30" s="406"/>
      <c r="J30" s="406"/>
      <c r="K30" s="406"/>
      <c r="L30" s="406"/>
      <c r="M30" s="80" t="s">
        <v>482</v>
      </c>
      <c r="N30" s="164" t="s">
        <v>289</v>
      </c>
      <c r="Y30" s="168"/>
      <c r="Z30" s="168"/>
    </row>
    <row r="31" spans="1:26" s="4" customFormat="1" x14ac:dyDescent="0.2">
      <c r="A31" s="90" t="s">
        <v>28</v>
      </c>
      <c r="B31" s="423" t="s">
        <v>277</v>
      </c>
      <c r="C31" s="423"/>
      <c r="D31" s="423"/>
      <c r="E31" s="406" t="s">
        <v>281</v>
      </c>
      <c r="F31" s="406"/>
      <c r="G31" s="406"/>
      <c r="H31" s="406"/>
      <c r="I31" s="406"/>
      <c r="J31" s="406"/>
      <c r="K31" s="406"/>
      <c r="L31" s="406"/>
      <c r="M31" s="80" t="s">
        <v>483</v>
      </c>
      <c r="N31" s="164" t="s">
        <v>290</v>
      </c>
      <c r="Y31" s="168"/>
      <c r="Z31" s="168"/>
    </row>
    <row r="32" spans="1:26" s="4" customFormat="1" x14ac:dyDescent="0.2">
      <c r="A32" s="90" t="s">
        <v>28</v>
      </c>
      <c r="B32" s="403" t="s">
        <v>280</v>
      </c>
      <c r="C32" s="404"/>
      <c r="D32" s="405"/>
      <c r="E32" s="406" t="s">
        <v>284</v>
      </c>
      <c r="F32" s="406"/>
      <c r="G32" s="406"/>
      <c r="H32" s="406"/>
      <c r="I32" s="406"/>
      <c r="J32" s="406"/>
      <c r="K32" s="406"/>
      <c r="L32" s="406"/>
      <c r="M32" s="81" t="s">
        <v>19</v>
      </c>
      <c r="N32" s="160" t="s">
        <v>291</v>
      </c>
      <c r="Y32" s="168"/>
      <c r="Z32" s="168"/>
    </row>
    <row r="33" spans="1:26" s="4" customFormat="1" x14ac:dyDescent="0.2">
      <c r="A33" s="90" t="s">
        <v>28</v>
      </c>
      <c r="B33" s="403" t="s">
        <v>534</v>
      </c>
      <c r="C33" s="404"/>
      <c r="D33" s="405"/>
      <c r="E33" s="406" t="s">
        <v>535</v>
      </c>
      <c r="F33" s="406"/>
      <c r="G33" s="406"/>
      <c r="H33" s="406"/>
      <c r="I33" s="406"/>
      <c r="J33" s="406"/>
      <c r="K33" s="406"/>
      <c r="L33" s="406"/>
      <c r="M33" s="81" t="s">
        <v>536</v>
      </c>
      <c r="N33" s="160" t="s">
        <v>537</v>
      </c>
      <c r="Y33" s="168"/>
      <c r="Z33" s="168"/>
    </row>
    <row r="35" spans="1:26" ht="18.75" x14ac:dyDescent="0.2">
      <c r="A35" s="396" t="s">
        <v>8</v>
      </c>
      <c r="B35" s="397"/>
      <c r="C35" s="397"/>
      <c r="D35" s="397"/>
      <c r="E35" s="397"/>
      <c r="F35" s="397"/>
      <c r="G35" s="397"/>
      <c r="H35" s="397"/>
      <c r="I35" s="397"/>
      <c r="J35" s="397"/>
      <c r="K35" s="397"/>
      <c r="L35" s="397"/>
    </row>
    <row r="36" spans="1:26" x14ac:dyDescent="0.2">
      <c r="A36" s="64" t="s">
        <v>32</v>
      </c>
      <c r="B36" s="393" t="s">
        <v>23</v>
      </c>
      <c r="C36" s="394"/>
      <c r="D36" s="394"/>
      <c r="E36" s="394"/>
      <c r="F36" s="394"/>
      <c r="G36" s="395"/>
      <c r="H36" s="393" t="s">
        <v>13</v>
      </c>
      <c r="I36" s="394"/>
      <c r="J36" s="394"/>
      <c r="K36" s="394"/>
      <c r="L36" s="395"/>
    </row>
    <row r="38" spans="1:26" ht="18.75" x14ac:dyDescent="0.2">
      <c r="A38" s="398" t="s">
        <v>9</v>
      </c>
      <c r="B38" s="389"/>
      <c r="C38" s="389"/>
      <c r="D38" s="389"/>
      <c r="E38" s="389"/>
      <c r="F38" s="389"/>
      <c r="G38" s="389"/>
      <c r="H38" s="389"/>
      <c r="I38" s="389"/>
      <c r="J38" s="389"/>
      <c r="K38" s="389"/>
      <c r="L38" s="389"/>
    </row>
    <row r="39" spans="1:26" x14ac:dyDescent="0.2">
      <c r="A39" s="330" t="s">
        <v>32</v>
      </c>
      <c r="B39" s="390" t="s">
        <v>23</v>
      </c>
      <c r="C39" s="391"/>
      <c r="D39" s="391"/>
      <c r="E39" s="391"/>
      <c r="F39" s="391"/>
      <c r="G39" s="392"/>
      <c r="H39" s="390" t="s">
        <v>13</v>
      </c>
      <c r="I39" s="391"/>
      <c r="J39" s="391"/>
      <c r="K39" s="391"/>
      <c r="L39" s="392"/>
    </row>
    <row r="41" spans="1:26" ht="18.75" x14ac:dyDescent="0.2">
      <c r="A41" s="388" t="s">
        <v>75</v>
      </c>
      <c r="B41" s="389"/>
      <c r="C41" s="389"/>
      <c r="D41" s="389"/>
      <c r="E41" s="389"/>
      <c r="F41" s="389"/>
      <c r="G41" s="389"/>
      <c r="H41" s="389"/>
      <c r="I41" s="389"/>
      <c r="J41" s="389"/>
      <c r="K41" s="389"/>
      <c r="L41" s="389"/>
    </row>
    <row r="42" spans="1:26" x14ac:dyDescent="0.2">
      <c r="A42" s="330" t="s">
        <v>32</v>
      </c>
      <c r="B42" s="390" t="s">
        <v>23</v>
      </c>
      <c r="C42" s="391"/>
      <c r="D42" s="391"/>
      <c r="E42" s="391"/>
      <c r="F42" s="391"/>
      <c r="G42" s="392"/>
      <c r="H42" s="390" t="s">
        <v>13</v>
      </c>
      <c r="I42" s="391"/>
      <c r="J42" s="391"/>
      <c r="K42" s="391"/>
      <c r="L42" s="392"/>
    </row>
  </sheetData>
  <sheetProtection algorithmName="SHA-512" hashValue="cuhSUcuVmSVY+14kdy13YEJOpwnJpDqJp86iqmeITk1UBDoWNEulmctOGDH8JQ2I3D1n9jRPs60EUwfxOQ5viQ==" saltValue="mfe0COr7l34Sj0/Gu5itIQ==" spinCount="100000" sheet="1" objects="1" scenarios="1" formatColumns="0" formatRows="0"/>
  <dataConsolidate/>
  <mergeCells count="73">
    <mergeCell ref="D11:F11"/>
    <mergeCell ref="G11:J11"/>
    <mergeCell ref="D12:F12"/>
    <mergeCell ref="D13:F13"/>
    <mergeCell ref="D14:F14"/>
    <mergeCell ref="A14:B14"/>
    <mergeCell ref="D15:F15"/>
    <mergeCell ref="G12:J12"/>
    <mergeCell ref="G13:J13"/>
    <mergeCell ref="G14:J14"/>
    <mergeCell ref="G15:J15"/>
    <mergeCell ref="A1:L1"/>
    <mergeCell ref="A4:L4"/>
    <mergeCell ref="A7:C7"/>
    <mergeCell ref="D7:L7"/>
    <mergeCell ref="F3:J3"/>
    <mergeCell ref="C3:E3"/>
    <mergeCell ref="H5:I5"/>
    <mergeCell ref="H6:I6"/>
    <mergeCell ref="A8:C8"/>
    <mergeCell ref="D8:L8"/>
    <mergeCell ref="A25:L25"/>
    <mergeCell ref="B27:D27"/>
    <mergeCell ref="E26:L26"/>
    <mergeCell ref="B26:D26"/>
    <mergeCell ref="F9:L9"/>
    <mergeCell ref="A9:C9"/>
    <mergeCell ref="D9:E9"/>
    <mergeCell ref="G19:L19"/>
    <mergeCell ref="G20:L20"/>
    <mergeCell ref="B19:C19"/>
    <mergeCell ref="B20:C20"/>
    <mergeCell ref="D17:E17"/>
    <mergeCell ref="F17:F18"/>
    <mergeCell ref="A13:B13"/>
    <mergeCell ref="B17:C18"/>
    <mergeCell ref="E31:L31"/>
    <mergeCell ref="B30:D30"/>
    <mergeCell ref="B31:D31"/>
    <mergeCell ref="G22:L22"/>
    <mergeCell ref="B23:C23"/>
    <mergeCell ref="B22:C22"/>
    <mergeCell ref="A10:L10"/>
    <mergeCell ref="B32:D32"/>
    <mergeCell ref="B28:D28"/>
    <mergeCell ref="E28:L28"/>
    <mergeCell ref="E30:L30"/>
    <mergeCell ref="B21:C21"/>
    <mergeCell ref="G21:L21"/>
    <mergeCell ref="A11:B11"/>
    <mergeCell ref="E27:L27"/>
    <mergeCell ref="E29:L29"/>
    <mergeCell ref="B29:D29"/>
    <mergeCell ref="A12:B12"/>
    <mergeCell ref="A15:B15"/>
    <mergeCell ref="G17:L18"/>
    <mergeCell ref="A16:L16"/>
    <mergeCell ref="A17:A18"/>
    <mergeCell ref="A35:L35"/>
    <mergeCell ref="A38:L38"/>
    <mergeCell ref="I24:L24"/>
    <mergeCell ref="A24:C24"/>
    <mergeCell ref="G23:L23"/>
    <mergeCell ref="B33:D33"/>
    <mergeCell ref="E33:L33"/>
    <mergeCell ref="E32:L32"/>
    <mergeCell ref="A41:L41"/>
    <mergeCell ref="B42:G42"/>
    <mergeCell ref="H42:L42"/>
    <mergeCell ref="B36:G36"/>
    <mergeCell ref="H36:L36"/>
    <mergeCell ref="B39:G39"/>
    <mergeCell ref="H39:L39"/>
  </mergeCells>
  <phoneticPr fontId="2" type="noConversion"/>
  <conditionalFormatting sqref="F19:F23">
    <cfRule type="expression" dxfId="221" priority="15" stopIfTrue="1">
      <formula>EXACT(F19,"G")</formula>
    </cfRule>
    <cfRule type="expression" dxfId="220" priority="16" stopIfTrue="1">
      <formula>EXACT(F19,"Y")</formula>
    </cfRule>
    <cfRule type="expression" dxfId="219" priority="17" stopIfTrue="1">
      <formula>EXACT(F19,"R")</formula>
    </cfRule>
    <cfRule type="expression" dxfId="218" priority="18" stopIfTrue="1">
      <formula>EXACT(F19,"N/A")</formula>
    </cfRule>
    <cfRule type="expression" dxfId="217" priority="19" stopIfTrue="1">
      <formula>EXACT(F19,"WVR")</formula>
    </cfRule>
  </conditionalFormatting>
  <conditionalFormatting sqref="G6">
    <cfRule type="cellIs" dxfId="216" priority="20" stopIfTrue="1" operator="equal">
      <formula>"WVR"</formula>
    </cfRule>
    <cfRule type="cellIs" dxfId="215" priority="21" stopIfTrue="1" operator="equal">
      <formula>"N/A"</formula>
    </cfRule>
    <cfRule type="cellIs" dxfId="214" priority="22" stopIfTrue="1" operator="equal">
      <formula>"R"</formula>
    </cfRule>
    <cfRule type="cellIs" dxfId="213" priority="23" stopIfTrue="1" operator="equal">
      <formula>"G"</formula>
    </cfRule>
    <cfRule type="cellIs" dxfId="212" priority="24" stopIfTrue="1" operator="equal">
      <formula>"Y"</formula>
    </cfRule>
  </conditionalFormatting>
  <conditionalFormatting sqref="C12:C15">
    <cfRule type="cellIs" dxfId="211" priority="9" operator="equal">
      <formula>"High"</formula>
    </cfRule>
    <cfRule type="cellIs" dxfId="210" priority="10" operator="equal">
      <formula>"Medium"</formula>
    </cfRule>
    <cfRule type="cellIs" dxfId="209" priority="11" operator="equal">
      <formula>"Low"</formula>
    </cfRule>
  </conditionalFormatting>
  <dataValidations count="9">
    <dataValidation type="date" allowBlank="1" showInputMessage="1" showErrorMessage="1" sqref="A6">
      <formula1>39814</formula1>
      <formula2>47484</formula2>
    </dataValidation>
    <dataValidation type="custom" allowBlank="1" showInputMessage="1" showErrorMessage="1" errorTitle="Asset Version" error="Version Number must be in the form major.minor.revision_x000a_(all numeric)" sqref="B6">
      <formula1>NOT(ISERR(VALUE(SUBSTITUTE(B6,".",""))))</formula1>
    </dataValidation>
    <dataValidation type="whole" operator="greaterThanOrEqual" allowBlank="1" showInputMessage="1" showErrorMessage="1" errorTitle="Employee ID" error="Please enter a valid Employee ID for the Enterprise Architect" sqref="E6">
      <formula1>0</formula1>
    </dataValidation>
    <dataValidation type="whole" operator="greaterThanOrEqual" allowBlank="1" showInputMessage="1" showErrorMessage="1" errorTitle="Employee ID" error="Please enter a valid Employee ID for the Domain Architect" sqref="C6">
      <formula1>0</formula1>
    </dataValidation>
    <dataValidation type="list" allowBlank="1" showInputMessage="1" showErrorMessage="1" sqref="G6">
      <formula1>RollupValuesForPrinciples</formula1>
    </dataValidation>
    <dataValidation type="list" allowBlank="1" showInputMessage="1" showErrorMessage="1" prompt="Roll up these principles:_x000a_5. Global Data" sqref="C15">
      <formula1>RiskValues</formula1>
    </dataValidation>
    <dataValidation type="list" allowBlank="1" showInputMessage="1" showErrorMessage="1" prompt="Roll up these principles:_x000a_1. Compliant Data" sqref="C12">
      <formula1>RiskValues</formula1>
    </dataValidation>
    <dataValidation type="list" allowBlank="1" showInputMessage="1" showErrorMessage="1" prompt="Roll up these principles:_x000a_2. Reliable Data_x000a_3. Master Data" sqref="C13">
      <formula1>RiskValues</formula1>
    </dataValidation>
    <dataValidation type="list" allowBlank="1" showInputMessage="1" showErrorMessage="1" prompt="Roll up these principles:_x000a_4. Flexible Data" sqref="C14">
      <formula1>RiskValues</formula1>
    </dataValidation>
  </dataValidations>
  <pageMargins left="0.25" right="0.25" top="0.75" bottom="0.75" header="0.3" footer="0.3"/>
  <pageSetup scale="79" fitToHeight="100" orientation="landscape" r:id="rId1"/>
  <headerFooter alignWithMargins="0">
    <oddHeader>&amp;L&amp;F&amp;C&amp;A&amp;R&amp;D</oddHeader>
    <oddFooter>&amp;C&amp;P of &amp;N</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 operator="equal" id="{A7835A6A-A5B5-463A-A754-6DBFD27D455E}">
            <xm:f>Instructions!$B$38</xm:f>
            <x14:dxf>
              <fill>
                <patternFill>
                  <fgColor theme="0"/>
                  <bgColor theme="7" tint="0.39994506668294322"/>
                </patternFill>
              </fill>
            </x14:dxf>
          </x14:cfRule>
          <x14:cfRule type="cellIs" priority="2" operator="equal" id="{31D17115-6287-4428-8A23-59B5BEFCE39F}">
            <xm:f>Instructions!$B$37</xm:f>
            <x14:dxf>
              <fill>
                <patternFill>
                  <bgColor theme="7" tint="0.59996337778862885"/>
                </patternFill>
              </fill>
            </x14:dxf>
          </x14:cfRule>
          <x14:cfRule type="cellIs" priority="3" operator="equal" id="{2687E5E0-1FD8-4F5F-860E-F9A8E577FA04}">
            <xm:f>Instructions!$B$36</xm:f>
            <x14:dxf>
              <fill>
                <patternFill>
                  <bgColor theme="7" tint="0.79998168889431442"/>
                </patternFill>
              </fill>
            </x14:dxf>
          </x14:cfRule>
          <x14:cfRule type="cellIs" priority="4" operator="equal" id="{AFAD6923-0C8A-40FA-834A-91A4034F9C6E}">
            <xm:f>Instructions!$B$35</xm:f>
            <x14:dxf>
              <fill>
                <patternFill>
                  <bgColor theme="0" tint="-4.9989318521683403E-2"/>
                </patternFill>
              </fill>
            </x14:dxf>
          </x14:cfRule>
          <xm:sqref>D9:E9</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Instructions!$B$96:$B$97</xm:f>
          </x14:formula1>
          <xm:sqref>A27:A33</xm:sqref>
        </x14:dataValidation>
        <x14:dataValidation type="list" allowBlank="1" showInputMessage="1" showErrorMessage="1">
          <x14:formula1>
            <xm:f>Instructions!$B$25:$B$28</xm:f>
          </x14:formula1>
          <xm:sqref>D9:E9</xm:sqref>
        </x14:dataValidation>
        <x14:dataValidation type="list" showInputMessage="1" showErrorMessage="1">
          <x14:formula1>
            <xm:f>Instructions!$B$10:$B$11</xm:f>
          </x14:formula1>
          <xm:sqref>L3</xm:sqref>
        </x14:dataValidation>
        <x14:dataValidation type="list" showInputMessage="1" showErrorMessage="1">
          <x14:formula1>
            <xm:f>Instructions!$B$13:$B$16</xm:f>
          </x14:formula1>
          <xm:sqref>K3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fitToPage="1"/>
  </sheetPr>
  <dimension ref="A1:N57"/>
  <sheetViews>
    <sheetView workbookViewId="0">
      <pane ySplit="1" topLeftCell="A2" activePane="bottomLeft" state="frozenSplit"/>
      <selection pane="bottomLeft" activeCell="C4" sqref="C4"/>
    </sheetView>
  </sheetViews>
  <sheetFormatPr defaultRowHeight="15" x14ac:dyDescent="0.2"/>
  <cols>
    <col min="1" max="1" width="8.28515625" style="202" customWidth="1"/>
    <col min="2" max="2" width="9.28515625" style="205" customWidth="1"/>
    <col min="3" max="3" width="50.42578125" style="206" customWidth="1"/>
    <col min="4" max="4" width="6.7109375" style="54" customWidth="1"/>
    <col min="5" max="5" width="75.140625" style="207" customWidth="1"/>
    <col min="6" max="7" width="9.140625" style="202"/>
    <col min="8" max="8" width="11.42578125" style="202" bestFit="1" customWidth="1"/>
    <col min="9" max="9" width="12.7109375" style="202" bestFit="1" customWidth="1"/>
    <col min="10" max="10" width="43.5703125" style="202" bestFit="1" customWidth="1"/>
    <col min="11" max="11" width="9.140625" style="202"/>
    <col min="12" max="12" width="8.5703125" style="202" bestFit="1" customWidth="1"/>
    <col min="13" max="13" width="12.7109375" style="202" bestFit="1" customWidth="1"/>
    <col min="14" max="14" width="203.7109375" style="202" bestFit="1" customWidth="1"/>
    <col min="15" max="16384" width="9.140625" style="202"/>
  </cols>
  <sheetData>
    <row r="1" spans="1:14" s="133" customFormat="1" ht="19.5" thickTop="1" x14ac:dyDescent="0.2">
      <c r="A1" s="304"/>
      <c r="B1" s="462" t="s">
        <v>11</v>
      </c>
      <c r="C1" s="463"/>
      <c r="D1" s="463"/>
      <c r="E1" s="464"/>
      <c r="G1" s="304"/>
      <c r="H1" s="304"/>
      <c r="I1" s="304"/>
      <c r="J1" s="304"/>
    </row>
    <row r="2" spans="1:14" ht="15.75" x14ac:dyDescent="0.2">
      <c r="A2" s="305"/>
      <c r="B2" s="306"/>
      <c r="C2" s="307"/>
      <c r="D2" s="308" t="s">
        <v>21</v>
      </c>
      <c r="E2" s="309"/>
      <c r="G2" s="351" t="s">
        <v>662</v>
      </c>
      <c r="H2" s="351" t="s">
        <v>663</v>
      </c>
      <c r="I2" s="351" t="s">
        <v>664</v>
      </c>
      <c r="J2" s="351" t="s">
        <v>665</v>
      </c>
      <c r="K2" s="351" t="s">
        <v>232</v>
      </c>
      <c r="L2" s="351" t="s">
        <v>663</v>
      </c>
      <c r="M2" s="351" t="s">
        <v>664</v>
      </c>
      <c r="N2" s="352" t="s">
        <v>666</v>
      </c>
    </row>
    <row r="3" spans="1:14" ht="24.75" customHeight="1" x14ac:dyDescent="0.2">
      <c r="A3" s="305" t="str">
        <f>'1. Compliant Data'!A1</f>
        <v>P:13</v>
      </c>
      <c r="B3" s="313">
        <f>'1. Compliant Data'!C1</f>
        <v>1</v>
      </c>
      <c r="C3" s="310" t="str">
        <f>'1. Compliant Data'!D1</f>
        <v>Compliant Data</v>
      </c>
      <c r="D3" s="311">
        <f>'1. Compliant Data'!E2</f>
        <v>0</v>
      </c>
      <c r="E3" s="314" t="str">
        <f>'1. Compliant Data'!F2</f>
        <v>EA Summary Comments</v>
      </c>
      <c r="G3" s="163" t="str">
        <f t="shared" ref="G3" si="0">IF(H3="Catastrophic","Sev1",IF(H3="High",IF(I3="High","Sev1",IF(I3="Medium","Sev2",IF(I3="Low","Sev3",""))),IF(H3="Medium",IF(I3="High","Sev2",IF(I3="Medium","Sev3",IF(I3="Low","Sev4"))),IF(H3="Low",IF(I3="High","Sev3",IF(I3="Medium","Sev4",IF(I3="Low","Guidance",""))),""))))</f>
        <v>Sev1</v>
      </c>
      <c r="H3" s="163" t="s">
        <v>667</v>
      </c>
      <c r="I3" s="163" t="s">
        <v>94</v>
      </c>
      <c r="J3" s="355" t="s">
        <v>675</v>
      </c>
      <c r="K3" s="202" t="str">
        <f t="shared" ref="K3" si="1">MID(A3,FIND(":",A3)+1,4)</f>
        <v>13</v>
      </c>
      <c r="L3" s="202">
        <f t="shared" ref="L3" si="2">IF(H3="Catastrophic",1,IF(H3="High",2,IF(H3="Medium",3,4)))</f>
        <v>1</v>
      </c>
      <c r="M3" s="202">
        <f t="shared" ref="M3" si="3">IF(I3="High",1,IF(I3="Medium",2,3))</f>
        <v>1</v>
      </c>
      <c r="N3" s="202" t="str">
        <f t="shared" ref="N3" si="4">"INSERT INTO [dbo].[GoldenRuleStreamliningAttributes]
           ([ID], [Impact]
           ,[Likelihood]
           ,[Difficulty]
           ,[ModifiedTime]
           ,[ModifiedByUserId])
     VALUES
           (" &amp; K3 &amp;","&amp;L3&amp;","&amp;M3&amp;","&amp;J3&amp;",getdate(),CURRENT_USER)"</f>
        <v>INSERT INTO [dbo].[GoldenRuleStreamliningAttributes]
           ([ID], [Impact]
           ,[Likelihood]
           ,[Difficulty]
           ,[ModifiedTime]
           ,[ModifiedByUserId])
     VALUES
           (13,1,1,5,getdate(),CURRENT_USER)</v>
      </c>
    </row>
    <row r="4" spans="1:14" ht="24.75" customHeight="1" x14ac:dyDescent="0.2">
      <c r="A4" s="305" t="str">
        <f>'1. Compliant Data'!A5</f>
        <v>GR:103</v>
      </c>
      <c r="B4" s="203" t="str">
        <f>'1. Compliant Data'!C5</f>
        <v>1.1</v>
      </c>
      <c r="C4" s="307" t="str">
        <f>'1. Compliant Data'!D5</f>
        <v>Compliant Data - Information Value Classification</v>
      </c>
      <c r="D4" s="311">
        <f>'1. Compliant Data'!E6</f>
        <v>0</v>
      </c>
      <c r="E4" s="315" t="str">
        <f>'1. Compliant Data'!F6</f>
        <v>EA Summary Comments</v>
      </c>
      <c r="G4" s="163" t="str">
        <f t="shared" ref="G4:G25" si="5">IF(H4="Catastrophic","Sev1",IF(H4="High",IF(I4="High","Sev1",IF(I4="Medium","Sev2",IF(I4="Low","Sev3",""))),IF(H4="Medium",IF(I4="High","Sev2",IF(I4="Medium","Sev3",IF(I4="Low","Sev4"))),IF(H4="Low",IF(I4="High","Sev3",IF(I4="Medium","Sev4",IF(I4="Low","Guidance",""))),""))))</f>
        <v>Sev1</v>
      </c>
      <c r="H4" s="163" t="s">
        <v>667</v>
      </c>
      <c r="I4" s="163" t="s">
        <v>94</v>
      </c>
      <c r="J4" s="355" t="s">
        <v>675</v>
      </c>
      <c r="K4" s="202" t="str">
        <f t="shared" ref="K4:K17" si="6">MID(A4,FIND(":",A4)+1,4)</f>
        <v>103</v>
      </c>
      <c r="L4" s="202">
        <f t="shared" ref="L4:L17" si="7">IF(H4="Catastrophic",1,IF(H4="High",2,IF(H4="Medium",3,4)))</f>
        <v>1</v>
      </c>
      <c r="M4" s="202">
        <f t="shared" ref="M4:M25" si="8">IF(I4="High",1,IF(I4="Medium",2,3))</f>
        <v>1</v>
      </c>
      <c r="N4" s="202" t="str">
        <f t="shared" ref="N4:N17" si="9">"INSERT INTO [dbo].[GoldenRuleStreamliningAttributes]
           ([ID], [Impact]
           ,[Likelihood]
           ,[Difficulty]
           ,[ModifiedTime]
           ,[ModifiedByUserId])
     VALUES
           (" &amp; K4 &amp;","&amp;L4&amp;","&amp;M4&amp;","&amp;J4&amp;",getdate(),CURRENT_USER)"</f>
        <v>INSERT INTO [dbo].[GoldenRuleStreamliningAttributes]
           ([ID], [Impact]
           ,[Likelihood]
           ,[Difficulty]
           ,[ModifiedTime]
           ,[ModifiedByUserId])
     VALUES
           (103,1,1,5,getdate(),CURRENT_USER)</v>
      </c>
    </row>
    <row r="5" spans="1:14" ht="24.75" customHeight="1" x14ac:dyDescent="0.2">
      <c r="A5" s="305" t="str">
        <f>'1. Compliant Data'!A11</f>
        <v>GR:141</v>
      </c>
      <c r="B5" s="203" t="str">
        <f>'1. Compliant Data'!C11</f>
        <v>1.2</v>
      </c>
      <c r="C5" s="307" t="str">
        <f>'1. Compliant Data'!D11</f>
        <v>Compliant Data - Retention and Purging</v>
      </c>
      <c r="D5" s="311">
        <f>'1. Compliant Data'!E12</f>
        <v>0</v>
      </c>
      <c r="E5" s="315" t="str">
        <f>'1. Compliant Data'!F12</f>
        <v>EA Summary Comments</v>
      </c>
      <c r="G5" s="163" t="str">
        <f t="shared" si="5"/>
        <v>Sev2</v>
      </c>
      <c r="H5" s="163" t="s">
        <v>94</v>
      </c>
      <c r="I5" s="163" t="s">
        <v>93</v>
      </c>
      <c r="J5" s="355" t="s">
        <v>675</v>
      </c>
      <c r="K5" s="202" t="str">
        <f t="shared" si="6"/>
        <v>141</v>
      </c>
      <c r="L5" s="202">
        <f t="shared" si="7"/>
        <v>2</v>
      </c>
      <c r="M5" s="202">
        <f t="shared" si="8"/>
        <v>2</v>
      </c>
      <c r="N5" s="202" t="str">
        <f t="shared" si="9"/>
        <v>INSERT INTO [dbo].[GoldenRuleStreamliningAttributes]
           ([ID], [Impact]
           ,[Likelihood]
           ,[Difficulty]
           ,[ModifiedTime]
           ,[ModifiedByUserId])
     VALUES
           (141,2,2,5,getdate(),CURRENT_USER)</v>
      </c>
    </row>
    <row r="6" spans="1:14" ht="24.75" customHeight="1" x14ac:dyDescent="0.2">
      <c r="A6" s="305" t="str">
        <f>'2. Reliable Data'!A1</f>
        <v>P:14</v>
      </c>
      <c r="B6" s="313">
        <f>'2. Reliable Data'!C1</f>
        <v>2</v>
      </c>
      <c r="C6" s="310" t="str">
        <f>'2. Reliable Data'!D1</f>
        <v>Reliable Data</v>
      </c>
      <c r="D6" s="311">
        <f>'2. Reliable Data'!E2</f>
        <v>0</v>
      </c>
      <c r="E6" s="312" t="str">
        <f>'2. Reliable Data'!F2</f>
        <v>EA Summary Comments</v>
      </c>
      <c r="G6" s="163" t="str">
        <f t="shared" si="5"/>
        <v>Sev1</v>
      </c>
      <c r="H6" s="163" t="s">
        <v>94</v>
      </c>
      <c r="I6" s="163" t="s">
        <v>94</v>
      </c>
      <c r="J6" s="355" t="s">
        <v>675</v>
      </c>
      <c r="K6" s="202" t="str">
        <f t="shared" si="6"/>
        <v>14</v>
      </c>
      <c r="L6" s="202">
        <f t="shared" si="7"/>
        <v>2</v>
      </c>
      <c r="M6" s="202">
        <f t="shared" si="8"/>
        <v>1</v>
      </c>
      <c r="N6" s="202" t="str">
        <f t="shared" si="9"/>
        <v>INSERT INTO [dbo].[GoldenRuleStreamliningAttributes]
           ([ID], [Impact]
           ,[Likelihood]
           ,[Difficulty]
           ,[ModifiedTime]
           ,[ModifiedByUserId])
     VALUES
           (14,2,1,5,getdate(),CURRENT_USER)</v>
      </c>
    </row>
    <row r="7" spans="1:14" ht="24.75" customHeight="1" x14ac:dyDescent="0.2">
      <c r="A7" s="305" t="str">
        <f>'2. Reliable Data'!A5</f>
        <v>GR:106</v>
      </c>
      <c r="B7" s="203" t="str">
        <f>'2. Reliable Data'!C5</f>
        <v>2.1</v>
      </c>
      <c r="C7" s="316" t="str">
        <f>'2. Reliable Data'!D5</f>
        <v>Reliable Data - Indirection</v>
      </c>
      <c r="D7" s="311">
        <f>'2. Reliable Data'!E6</f>
        <v>0</v>
      </c>
      <c r="E7" s="317" t="str">
        <f>'2. Reliable Data'!F6</f>
        <v>EA Summary Comments</v>
      </c>
      <c r="G7" s="163" t="str">
        <f t="shared" si="5"/>
        <v>Sev2</v>
      </c>
      <c r="H7" s="163" t="s">
        <v>93</v>
      </c>
      <c r="I7" s="163" t="s">
        <v>94</v>
      </c>
      <c r="J7" s="355" t="s">
        <v>675</v>
      </c>
      <c r="K7" s="202" t="str">
        <f t="shared" si="6"/>
        <v>106</v>
      </c>
      <c r="L7" s="202">
        <f t="shared" si="7"/>
        <v>3</v>
      </c>
      <c r="M7" s="202">
        <f t="shared" si="8"/>
        <v>1</v>
      </c>
      <c r="N7" s="202" t="str">
        <f t="shared" si="9"/>
        <v>INSERT INTO [dbo].[GoldenRuleStreamliningAttributes]
           ([ID], [Impact]
           ,[Likelihood]
           ,[Difficulty]
           ,[ModifiedTime]
           ,[ModifiedByUserId])
     VALUES
           (106,3,1,5,getdate(),CURRENT_USER)</v>
      </c>
    </row>
    <row r="8" spans="1:14" ht="24.75" customHeight="1" x14ac:dyDescent="0.2">
      <c r="A8" s="305" t="str">
        <f>'2. Reliable Data'!A9</f>
        <v>GR:107</v>
      </c>
      <c r="B8" s="203" t="str">
        <f>'2. Reliable Data'!C9</f>
        <v>2.2</v>
      </c>
      <c r="C8" s="316" t="str">
        <f>'2. Reliable Data'!D9</f>
        <v>Reliable Data - Data Quality Processes and Reporting</v>
      </c>
      <c r="D8" s="311">
        <f>'2. Reliable Data'!E10</f>
        <v>0</v>
      </c>
      <c r="E8" s="317" t="str">
        <f>'2. Reliable Data'!F10</f>
        <v>EA Summary Comments</v>
      </c>
      <c r="G8" s="163" t="str">
        <f t="shared" si="5"/>
        <v>Sev2</v>
      </c>
      <c r="H8" s="163" t="s">
        <v>94</v>
      </c>
      <c r="I8" s="163" t="s">
        <v>93</v>
      </c>
      <c r="J8" s="355" t="s">
        <v>675</v>
      </c>
      <c r="K8" s="202" t="str">
        <f t="shared" si="6"/>
        <v>107</v>
      </c>
      <c r="L8" s="202">
        <f t="shared" si="7"/>
        <v>2</v>
      </c>
      <c r="M8" s="202">
        <f t="shared" si="8"/>
        <v>2</v>
      </c>
      <c r="N8" s="202" t="str">
        <f t="shared" si="9"/>
        <v>INSERT INTO [dbo].[GoldenRuleStreamliningAttributes]
           ([ID], [Impact]
           ,[Likelihood]
           ,[Difficulty]
           ,[ModifiedTime]
           ,[ModifiedByUserId])
     VALUES
           (107,2,2,5,getdate(),CURRENT_USER)</v>
      </c>
    </row>
    <row r="9" spans="1:14" ht="24.75" customHeight="1" x14ac:dyDescent="0.2">
      <c r="A9" s="305" t="str">
        <f>'2. Reliable Data'!A14</f>
        <v>GR:109</v>
      </c>
      <c r="B9" s="203" t="str">
        <f>'2. Reliable Data'!C14</f>
        <v>2.3</v>
      </c>
      <c r="C9" s="316" t="str">
        <f>'2. Reliable Data'!D14</f>
        <v>Reliable Data - Data Curation</v>
      </c>
      <c r="D9" s="311">
        <f>'2. Reliable Data'!E15</f>
        <v>0</v>
      </c>
      <c r="E9" s="317" t="str">
        <f>'2. Reliable Data'!F15</f>
        <v>EA Summary Comments</v>
      </c>
      <c r="G9" s="163" t="str">
        <f t="shared" si="5"/>
        <v>Sev1</v>
      </c>
      <c r="H9" s="163" t="s">
        <v>94</v>
      </c>
      <c r="I9" s="163" t="s">
        <v>94</v>
      </c>
      <c r="J9" s="355" t="s">
        <v>675</v>
      </c>
      <c r="K9" s="202" t="str">
        <f t="shared" si="6"/>
        <v>109</v>
      </c>
      <c r="L9" s="202">
        <f t="shared" si="7"/>
        <v>2</v>
      </c>
      <c r="M9" s="202">
        <f t="shared" si="8"/>
        <v>1</v>
      </c>
      <c r="N9" s="202" t="str">
        <f t="shared" si="9"/>
        <v>INSERT INTO [dbo].[GoldenRuleStreamliningAttributes]
           ([ID], [Impact]
           ,[Likelihood]
           ,[Difficulty]
           ,[ModifiedTime]
           ,[ModifiedByUserId])
     VALUES
           (109,2,1,5,getdate(),CURRENT_USER)</v>
      </c>
    </row>
    <row r="10" spans="1:14" ht="24.75" customHeight="1" x14ac:dyDescent="0.2">
      <c r="A10" s="305" t="str">
        <f>'2. Reliable Data'!A19</f>
        <v>GR:1163</v>
      </c>
      <c r="B10" s="203" t="str">
        <f>'2. Reliable Data'!C19</f>
        <v>2.4</v>
      </c>
      <c r="C10" s="316" t="str">
        <f>'2. Reliable Data'!D19</f>
        <v>Reliable Data - Schemas</v>
      </c>
      <c r="D10" s="311">
        <f>'2. Reliable Data'!E20</f>
        <v>0</v>
      </c>
      <c r="E10" s="317" t="str">
        <f>'2. Reliable Data'!F20</f>
        <v>EA Summary Comments</v>
      </c>
      <c r="G10" s="163" t="str">
        <f t="shared" ref="G10" si="10">IF(H10="Catastrophic","Sev1",IF(H10="High",IF(I10="High","Sev1",IF(I10="Medium","Sev2",IF(I10="Low","Sev3",""))),IF(H10="Medium",IF(I10="High","Sev2",IF(I10="Medium","Sev3",IF(I10="Low","Sev4"))),IF(H10="Low",IF(I10="High","Sev3",IF(I10="Medium","Sev4",IF(I10="Low","Guidance",""))),""))))</f>
        <v>Sev2</v>
      </c>
      <c r="H10" s="163" t="s">
        <v>93</v>
      </c>
      <c r="I10" s="163" t="s">
        <v>94</v>
      </c>
      <c r="J10" s="355" t="s">
        <v>675</v>
      </c>
      <c r="K10" s="202" t="str">
        <f t="shared" ref="K10" si="11">MID(A10,FIND(":",A10)+1,4)</f>
        <v>1163</v>
      </c>
      <c r="L10" s="202">
        <f t="shared" ref="L10" si="12">IF(H10="Catastrophic",1,IF(H10="High",2,IF(H10="Medium",3,4)))</f>
        <v>3</v>
      </c>
      <c r="M10" s="202">
        <f t="shared" ref="M10" si="13">IF(I10="High",1,IF(I10="Medium",2,3))</f>
        <v>1</v>
      </c>
      <c r="N10" s="202" t="str">
        <f t="shared" ref="N10" si="14">"INSERT INTO [dbo].[GoldenRuleStreamliningAttributes]
           ([ID], [Impact]
           ,[Likelihood]
           ,[Difficulty]
           ,[ModifiedTime]
           ,[ModifiedByUserId])
     VALUES
           (" &amp; K10 &amp;","&amp;L10&amp;","&amp;M10&amp;","&amp;J10&amp;",getdate(),CURRENT_USER)"</f>
        <v>INSERT INTO [dbo].[GoldenRuleStreamliningAttributes]
           ([ID], [Impact]
           ,[Likelihood]
           ,[Difficulty]
           ,[ModifiedTime]
           ,[ModifiedByUserId])
     VALUES
           (1163,3,1,5,getdate(),CURRENT_USER)</v>
      </c>
    </row>
    <row r="11" spans="1:14" ht="24.75" customHeight="1" x14ac:dyDescent="0.2">
      <c r="A11" s="305" t="str">
        <f>'2. Reliable Data'!A25</f>
        <v>GR:111</v>
      </c>
      <c r="B11" s="203" t="str">
        <f>'2. Reliable Data'!C25</f>
        <v>2.5</v>
      </c>
      <c r="C11" s="316" t="str">
        <f>'2. Reliable Data'!D25</f>
        <v>Reliable Data - Data Asset Implementation</v>
      </c>
      <c r="D11" s="311">
        <f>'2. Reliable Data'!E26</f>
        <v>0</v>
      </c>
      <c r="E11" s="317" t="str">
        <f>'2. Reliable Data'!F26</f>
        <v>EA Summary Comments</v>
      </c>
      <c r="G11" s="163" t="str">
        <f t="shared" si="5"/>
        <v>Sev1</v>
      </c>
      <c r="H11" s="163" t="s">
        <v>94</v>
      </c>
      <c r="I11" s="163" t="s">
        <v>94</v>
      </c>
      <c r="J11" s="355" t="s">
        <v>675</v>
      </c>
      <c r="K11" s="202" t="str">
        <f t="shared" si="6"/>
        <v>111</v>
      </c>
      <c r="L11" s="202">
        <f t="shared" si="7"/>
        <v>2</v>
      </c>
      <c r="M11" s="202">
        <f t="shared" si="8"/>
        <v>1</v>
      </c>
      <c r="N11" s="202" t="str">
        <f t="shared" si="9"/>
        <v>INSERT INTO [dbo].[GoldenRuleStreamliningAttributes]
           ([ID], [Impact]
           ,[Likelihood]
           ,[Difficulty]
           ,[ModifiedTime]
           ,[ModifiedByUserId])
     VALUES
           (111,2,1,5,getdate(),CURRENT_USER)</v>
      </c>
    </row>
    <row r="12" spans="1:14" ht="24.75" customHeight="1" x14ac:dyDescent="0.2">
      <c r="A12" s="355" t="str">
        <f>'2. Reliable Data'!A29</f>
        <v>GR:115</v>
      </c>
      <c r="B12" s="204" t="str">
        <f>'2. Reliable Data'!C29</f>
        <v>2.6</v>
      </c>
      <c r="C12" s="353" t="str">
        <f>'2. Reliable Data'!D29</f>
        <v>Reliable Data - Accuracy</v>
      </c>
      <c r="D12" s="311">
        <f>'2. Reliable Data'!E30</f>
        <v>0</v>
      </c>
      <c r="E12" s="354" t="str">
        <f>'2. Reliable Data'!F30</f>
        <v>EA Summary Comments</v>
      </c>
      <c r="G12" s="163" t="str">
        <f t="shared" si="5"/>
        <v>Sev1</v>
      </c>
      <c r="H12" s="163" t="s">
        <v>94</v>
      </c>
      <c r="I12" s="163" t="s">
        <v>94</v>
      </c>
      <c r="J12" s="355" t="s">
        <v>675</v>
      </c>
      <c r="K12" s="202" t="str">
        <f t="shared" si="6"/>
        <v>115</v>
      </c>
      <c r="L12" s="202">
        <f t="shared" si="7"/>
        <v>2</v>
      </c>
      <c r="M12" s="202">
        <f t="shared" si="8"/>
        <v>1</v>
      </c>
      <c r="N12" s="202" t="str">
        <f t="shared" si="9"/>
        <v>INSERT INTO [dbo].[GoldenRuleStreamliningAttributes]
           ([ID], [Impact]
           ,[Likelihood]
           ,[Difficulty]
           ,[ModifiedTime]
           ,[ModifiedByUserId])
     VALUES
           (115,2,1,5,getdate(),CURRENT_USER)</v>
      </c>
    </row>
    <row r="13" spans="1:14" ht="24.75" customHeight="1" x14ac:dyDescent="0.2">
      <c r="A13" s="355" t="str">
        <f>'2. Reliable Data'!A35</f>
        <v>GR:117</v>
      </c>
      <c r="B13" s="204" t="str">
        <f>'2. Reliable Data'!C35</f>
        <v>2.7</v>
      </c>
      <c r="C13" s="353" t="str">
        <f>'2. Reliable Data'!D35</f>
        <v>Reliable Data - Completeness</v>
      </c>
      <c r="D13" s="311">
        <f>'2. Reliable Data'!E36</f>
        <v>0</v>
      </c>
      <c r="E13" s="354" t="str">
        <f>'2. Reliable Data'!F36</f>
        <v>EA Summary Comments</v>
      </c>
      <c r="G13" s="163" t="str">
        <f t="shared" ref="G13" si="15">IF(H13="Catastrophic","Sev1",IF(H13="High",IF(I13="High","Sev1",IF(I13="Medium","Sev2",IF(I13="Low","Sev3",""))),IF(H13="Medium",IF(I13="High","Sev2",IF(I13="Medium","Sev3",IF(I13="Low","Sev4"))),IF(H13="Low",IF(I13="High","Sev3",IF(I13="Medium","Sev4",IF(I13="Low","Guidance",""))),""))))</f>
        <v>Sev2</v>
      </c>
      <c r="H13" s="163" t="s">
        <v>93</v>
      </c>
      <c r="I13" s="163" t="s">
        <v>94</v>
      </c>
      <c r="J13" s="355" t="s">
        <v>675</v>
      </c>
      <c r="K13" s="202" t="str">
        <f t="shared" ref="K13" si="16">MID(A13,FIND(":",A13)+1,4)</f>
        <v>117</v>
      </c>
      <c r="L13" s="202">
        <f t="shared" ref="L13" si="17">IF(H13="Catastrophic",1,IF(H13="High",2,IF(H13="Medium",3,4)))</f>
        <v>3</v>
      </c>
      <c r="M13" s="202">
        <f t="shared" ref="M13" si="18">IF(I13="High",1,IF(I13="Medium",2,3))</f>
        <v>1</v>
      </c>
      <c r="N13" s="202" t="str">
        <f t="shared" ref="N13" si="19">"INSERT INTO [dbo].[GoldenRuleStreamliningAttributes]
           ([ID], [Impact]
           ,[Likelihood]
           ,[Difficulty]
           ,[ModifiedTime]
           ,[ModifiedByUserId])
     VALUES
           (" &amp; K13 &amp;","&amp;L13&amp;","&amp;M13&amp;","&amp;J13&amp;",getdate(),CURRENT_USER)"</f>
        <v>INSERT INTO [dbo].[GoldenRuleStreamliningAttributes]
           ([ID], [Impact]
           ,[Likelihood]
           ,[Difficulty]
           ,[ModifiedTime]
           ,[ModifiedByUserId])
     VALUES
           (117,3,1,5,getdate(),CURRENT_USER)</v>
      </c>
    </row>
    <row r="14" spans="1:14" ht="24.75" customHeight="1" x14ac:dyDescent="0.2">
      <c r="A14" s="355" t="str">
        <f>'2. Reliable Data'!A38</f>
        <v>GR:119</v>
      </c>
      <c r="B14" s="204" t="str">
        <f>'2. Reliable Data'!C38</f>
        <v>2.8</v>
      </c>
      <c r="C14" s="353" t="str">
        <f>'2. Reliable Data'!D38</f>
        <v>Reliable Data - Timeliness</v>
      </c>
      <c r="D14" s="311">
        <f>'2. Reliable Data'!E39</f>
        <v>0</v>
      </c>
      <c r="E14" s="354" t="str">
        <f>'2. Reliable Data'!F39</f>
        <v>EA Summary Comments</v>
      </c>
      <c r="G14" s="163" t="str">
        <f t="shared" ref="G14" si="20">IF(H14="Catastrophic","Sev1",IF(H14="High",IF(I14="High","Sev1",IF(I14="Medium","Sev2",IF(I14="Low","Sev3",""))),IF(H14="Medium",IF(I14="High","Sev2",IF(I14="Medium","Sev3",IF(I14="Low","Sev4"))),IF(H14="Low",IF(I14="High","Sev3",IF(I14="Medium","Sev4",IF(I14="Low","Guidance",""))),""))))</f>
        <v>Sev1</v>
      </c>
      <c r="H14" s="163" t="s">
        <v>94</v>
      </c>
      <c r="I14" s="163" t="s">
        <v>94</v>
      </c>
      <c r="J14" s="355" t="s">
        <v>675</v>
      </c>
      <c r="K14" s="202" t="str">
        <f t="shared" ref="K14" si="21">MID(A14,FIND(":",A14)+1,4)</f>
        <v>119</v>
      </c>
      <c r="L14" s="202">
        <f t="shared" ref="L14" si="22">IF(H14="Catastrophic",1,IF(H14="High",2,IF(H14="Medium",3,4)))</f>
        <v>2</v>
      </c>
      <c r="M14" s="202">
        <f t="shared" ref="M14" si="23">IF(I14="High",1,IF(I14="Medium",2,3))</f>
        <v>1</v>
      </c>
      <c r="N14" s="202" t="str">
        <f t="shared" ref="N14" si="24">"INSERT INTO [dbo].[GoldenRuleStreamliningAttributes]
           ([ID], [Impact]
           ,[Likelihood]
           ,[Difficulty]
           ,[ModifiedTime]
           ,[ModifiedByUserId])
     VALUES
           (" &amp; K14 &amp;","&amp;L14&amp;","&amp;M14&amp;","&amp;J14&amp;",getdate(),CURRENT_USER)"</f>
        <v>INSERT INTO [dbo].[GoldenRuleStreamliningAttributes]
           ([ID], [Impact]
           ,[Likelihood]
           ,[Difficulty]
           ,[ModifiedTime]
           ,[ModifiedByUserId])
     VALUES
           (119,2,1,5,getdate(),CURRENT_USER)</v>
      </c>
    </row>
    <row r="15" spans="1:14" ht="24.75" customHeight="1" x14ac:dyDescent="0.2">
      <c r="A15" s="305" t="str">
        <f>'3. Master Data'!A1</f>
        <v>P:15</v>
      </c>
      <c r="B15" s="313">
        <f>'3. Master Data'!C1</f>
        <v>3</v>
      </c>
      <c r="C15" s="310" t="str">
        <f>'3. Master Data'!D1</f>
        <v>Master Data</v>
      </c>
      <c r="D15" s="311">
        <f>'3. Master Data'!E2</f>
        <v>0</v>
      </c>
      <c r="E15" s="312" t="str">
        <f>'3. Master Data'!F2</f>
        <v>EA Summary Comments</v>
      </c>
      <c r="G15" s="163" t="str">
        <f t="shared" si="5"/>
        <v>Sev2</v>
      </c>
      <c r="H15" s="163" t="s">
        <v>94</v>
      </c>
      <c r="I15" s="163" t="s">
        <v>93</v>
      </c>
      <c r="J15" s="355" t="s">
        <v>675</v>
      </c>
      <c r="K15" s="202" t="str">
        <f t="shared" si="6"/>
        <v>15</v>
      </c>
      <c r="L15" s="202">
        <f t="shared" si="7"/>
        <v>2</v>
      </c>
      <c r="M15" s="202">
        <f t="shared" si="8"/>
        <v>2</v>
      </c>
      <c r="N15" s="202" t="str">
        <f t="shared" si="9"/>
        <v>INSERT INTO [dbo].[GoldenRuleStreamliningAttributes]
           ([ID], [Impact]
           ,[Likelihood]
           ,[Difficulty]
           ,[ModifiedTime]
           ,[ModifiedByUserId])
     VALUES
           (15,2,2,5,getdate(),CURRENT_USER)</v>
      </c>
    </row>
    <row r="16" spans="1:14" ht="24.75" customHeight="1" x14ac:dyDescent="0.2">
      <c r="A16" s="305" t="str">
        <f>'3. Master Data'!A5</f>
        <v>GR:112</v>
      </c>
      <c r="B16" s="203" t="str">
        <f>'3. Master Data'!C5</f>
        <v>3.1</v>
      </c>
      <c r="C16" s="316" t="str">
        <f>'3. Master Data'!D5</f>
        <v>Master Data - Mandatory Use</v>
      </c>
      <c r="D16" s="311">
        <f>'3. Master Data'!E6</f>
        <v>0</v>
      </c>
      <c r="E16" s="318" t="str">
        <f>'3. Master Data'!F6</f>
        <v>EA Summary Comments</v>
      </c>
      <c r="G16" s="163" t="str">
        <f t="shared" si="5"/>
        <v>Sev2</v>
      </c>
      <c r="H16" s="163" t="s">
        <v>94</v>
      </c>
      <c r="I16" s="163" t="s">
        <v>93</v>
      </c>
      <c r="J16" s="355" t="s">
        <v>675</v>
      </c>
      <c r="K16" s="202" t="str">
        <f t="shared" si="6"/>
        <v>112</v>
      </c>
      <c r="L16" s="202">
        <f t="shared" si="7"/>
        <v>2</v>
      </c>
      <c r="M16" s="202">
        <f t="shared" si="8"/>
        <v>2</v>
      </c>
      <c r="N16" s="202" t="str">
        <f t="shared" si="9"/>
        <v>INSERT INTO [dbo].[GoldenRuleStreamliningAttributes]
           ([ID], [Impact]
           ,[Likelihood]
           ,[Difficulty]
           ,[ModifiedTime]
           ,[ModifiedByUserId])
     VALUES
           (112,2,2,5,getdate(),CURRENT_USER)</v>
      </c>
    </row>
    <row r="17" spans="1:14" ht="24.75" customHeight="1" x14ac:dyDescent="0.2">
      <c r="A17" s="305" t="str">
        <f>'3. Master Data'!A10</f>
        <v>GR:113</v>
      </c>
      <c r="B17" s="203" t="str">
        <f>'3. Master Data'!C10</f>
        <v>3.2</v>
      </c>
      <c r="C17" s="316" t="str">
        <f>'3. Master Data'!D10</f>
        <v>Master Data - Data Models</v>
      </c>
      <c r="D17" s="311">
        <f>'3. Master Data'!E11</f>
        <v>0</v>
      </c>
      <c r="E17" s="318" t="str">
        <f>'3. Master Data'!F11</f>
        <v>EA Summary Comments</v>
      </c>
      <c r="G17" s="163" t="str">
        <f t="shared" si="5"/>
        <v>Sev3</v>
      </c>
      <c r="H17" s="163" t="s">
        <v>93</v>
      </c>
      <c r="I17" s="163" t="s">
        <v>93</v>
      </c>
      <c r="J17" s="355" t="s">
        <v>675</v>
      </c>
      <c r="K17" s="202" t="str">
        <f t="shared" si="6"/>
        <v>113</v>
      </c>
      <c r="L17" s="202">
        <f t="shared" si="7"/>
        <v>3</v>
      </c>
      <c r="M17" s="202">
        <f t="shared" si="8"/>
        <v>2</v>
      </c>
      <c r="N17" s="202" t="str">
        <f t="shared" si="9"/>
        <v>INSERT INTO [dbo].[GoldenRuleStreamliningAttributes]
           ([ID], [Impact]
           ,[Likelihood]
           ,[Difficulty]
           ,[ModifiedTime]
           ,[ModifiedByUserId])
     VALUES
           (113,3,2,5,getdate(),CURRENT_USER)</v>
      </c>
    </row>
    <row r="18" spans="1:14" ht="24.75" customHeight="1" x14ac:dyDescent="0.2">
      <c r="A18" s="305" t="str">
        <f>'4. Flexible Data'!A1</f>
        <v>P:18</v>
      </c>
      <c r="B18" s="313">
        <f>'4. Flexible Data'!C1</f>
        <v>4</v>
      </c>
      <c r="C18" s="319" t="str">
        <f>'4. Flexible Data'!D1</f>
        <v>Flexible Data</v>
      </c>
      <c r="D18" s="311">
        <f>'4. Flexible Data'!E2</f>
        <v>0</v>
      </c>
      <c r="E18" s="312" t="str">
        <f>'4. Flexible Data'!F2</f>
        <v>EA Summary Comments</v>
      </c>
      <c r="G18" s="163" t="str">
        <f t="shared" ref="G18:G23" si="25">IF(H18="Catastrophic","Sev1",IF(H18="High",IF(I18="High","Sev1",IF(I18="Medium","Sev2",IF(I18="Low","Sev3",""))),IF(H18="Medium",IF(I18="High","Sev2",IF(I18="Medium","Sev3",IF(I18="Low","Sev4"))),IF(H18="Low",IF(I18="High","Sev3",IF(I18="Medium","Sev4",IF(I18="Low","Guidance",""))),""))))</f>
        <v>Sev1</v>
      </c>
      <c r="H18" s="163" t="s">
        <v>94</v>
      </c>
      <c r="I18" s="163" t="s">
        <v>94</v>
      </c>
      <c r="J18" s="355" t="s">
        <v>675</v>
      </c>
      <c r="K18" s="202" t="str">
        <f>MID(A18,FIND(":",A18)+1,4)</f>
        <v>18</v>
      </c>
      <c r="L18" s="202">
        <f>IF(H18="Catastrophic",1,IF(H18="High",2,IF(H18="Medium",3,4)))</f>
        <v>2</v>
      </c>
      <c r="M18" s="202">
        <f t="shared" ref="M18:M23" si="26">IF(I18="High",1,IF(I18="Medium",2,3))</f>
        <v>1</v>
      </c>
      <c r="N18" s="202" t="str">
        <f>"INSERT INTO [dbo].[GoldenRuleStreamliningAttributes]
           ([ID], [Impact]
           ,[Likelihood]
           ,[Difficulty]
           ,[ModifiedTime]
           ,[ModifiedByUserId])
     VALUES
           (" &amp; K18 &amp;","&amp;L18&amp;","&amp;M18&amp;","&amp;J18&amp;",getdate(),CURRENT_USER)"</f>
        <v>INSERT INTO [dbo].[GoldenRuleStreamliningAttributes]
           ([ID], [Impact]
           ,[Likelihood]
           ,[Difficulty]
           ,[ModifiedTime]
           ,[ModifiedByUserId])
     VALUES
           (18,2,1,5,getdate(),CURRENT_USER)</v>
      </c>
    </row>
    <row r="19" spans="1:14" ht="24.75" customHeight="1" x14ac:dyDescent="0.2">
      <c r="A19" s="305" t="str">
        <f>'4. Flexible Data'!A5</f>
        <v>GR:122</v>
      </c>
      <c r="B19" s="203" t="str">
        <f>'4. Flexible Data'!C5</f>
        <v>4.1</v>
      </c>
      <c r="C19" s="316" t="str">
        <f>'4. Flexible Data'!D5</f>
        <v>Flexible Data - Enrichment</v>
      </c>
      <c r="D19" s="311">
        <f>'4. Flexible Data'!E6</f>
        <v>0</v>
      </c>
      <c r="E19" s="315" t="str">
        <f>'4. Flexible Data'!F6</f>
        <v>EA Summary Comments</v>
      </c>
      <c r="G19" s="163" t="str">
        <f t="shared" ref="G19" si="27">IF(H19="Catastrophic","Sev1",IF(H19="High",IF(I19="High","Sev1",IF(I19="Medium","Sev2",IF(I19="Low","Sev3",""))),IF(H19="Medium",IF(I19="High","Sev2",IF(I19="Medium","Sev3",IF(I19="Low","Sev4"))),IF(H19="Low",IF(I19="High","Sev3",IF(I19="Medium","Sev4",IF(I19="Low","Guidance",""))),""))))</f>
        <v>Sev1</v>
      </c>
      <c r="H19" s="163" t="s">
        <v>94</v>
      </c>
      <c r="I19" s="163" t="s">
        <v>94</v>
      </c>
      <c r="J19" s="355" t="s">
        <v>675</v>
      </c>
      <c r="K19" s="202" t="str">
        <f>MID(A19,FIND(":",A19)+1,4)</f>
        <v>122</v>
      </c>
      <c r="L19" s="202">
        <f>IF(H19="Catastrophic",1,IF(H19="High",2,IF(H19="Medium",3,4)))</f>
        <v>2</v>
      </c>
      <c r="M19" s="202">
        <f t="shared" ref="M19" si="28">IF(I19="High",1,IF(I19="Medium",2,3))</f>
        <v>1</v>
      </c>
      <c r="N19" s="202" t="str">
        <f>"INSERT INTO [dbo].[GoldenRuleStreamliningAttributes]
           ([ID], [Impact]
           ,[Likelihood]
           ,[Difficulty]
           ,[ModifiedTime]
           ,[ModifiedByUserId])
     VALUES
           (" &amp; K19 &amp;","&amp;L19&amp;","&amp;M19&amp;","&amp;J19&amp;",getdate(),CURRENT_USER)"</f>
        <v>INSERT INTO [dbo].[GoldenRuleStreamliningAttributes]
           ([ID], [Impact]
           ,[Likelihood]
           ,[Difficulty]
           ,[ModifiedTime]
           ,[ModifiedByUserId])
     VALUES
           (122,2,1,5,getdate(),CURRENT_USER)</v>
      </c>
    </row>
    <row r="20" spans="1:14" ht="24.75" customHeight="1" x14ac:dyDescent="0.2">
      <c r="A20" s="305" t="str">
        <f>'4. Flexible Data'!A11</f>
        <v>GR:123</v>
      </c>
      <c r="B20" s="203" t="str">
        <f>'4. Flexible Data'!C11</f>
        <v>4.2</v>
      </c>
      <c r="C20" s="316" t="str">
        <f>'4. Flexible Data'!D11</f>
        <v>Flexible Data - Separate Presentation</v>
      </c>
      <c r="D20" s="311">
        <f>'4. Flexible Data'!E12</f>
        <v>0</v>
      </c>
      <c r="E20" s="315" t="str">
        <f>'4. Flexible Data'!F12</f>
        <v>EA Summary Comments</v>
      </c>
      <c r="G20" s="163" t="str">
        <f t="shared" si="25"/>
        <v>Sev2</v>
      </c>
      <c r="H20" s="163" t="s">
        <v>93</v>
      </c>
      <c r="I20" s="163" t="s">
        <v>94</v>
      </c>
      <c r="J20" s="355" t="s">
        <v>675</v>
      </c>
      <c r="K20" s="202" t="str">
        <f t="shared" ref="K20:K21" si="29">MID(A20,FIND(":",A20)+1,4)</f>
        <v>123</v>
      </c>
      <c r="L20" s="202">
        <f t="shared" ref="L20:L25" si="30">IF(H20="Catastrophic",1,IF(H20="High",2,IF(H20="Medium",3,4)))</f>
        <v>3</v>
      </c>
      <c r="M20" s="202">
        <f t="shared" si="26"/>
        <v>1</v>
      </c>
      <c r="N20" s="202" t="str">
        <f t="shared" ref="N20:N25" si="31">"INSERT INTO [dbo].[GoldenRuleStreamliningAttributes]
           ([ID], [Impact]
           ,[Likelihood]
           ,[Difficulty]
           ,[ModifiedTime]
           ,[ModifiedByUserId])
     VALUES
           (" &amp; K20 &amp;","&amp;L20&amp;","&amp;M20&amp;","&amp;J20&amp;",getdate(),CURRENT_USER)"</f>
        <v>INSERT INTO [dbo].[GoldenRuleStreamliningAttributes]
           ([ID], [Impact]
           ,[Likelihood]
           ,[Difficulty]
           ,[ModifiedTime]
           ,[ModifiedByUserId])
     VALUES
           (123,3,1,5,getdate(),CURRENT_USER)</v>
      </c>
    </row>
    <row r="21" spans="1:14" ht="24.75" customHeight="1" x14ac:dyDescent="0.2">
      <c r="A21" s="305" t="str">
        <f>'4. Flexible Data'!A15</f>
        <v>GR:124</v>
      </c>
      <c r="B21" s="203" t="str">
        <f>'4. Flexible Data'!C15</f>
        <v>4.3</v>
      </c>
      <c r="C21" s="316" t="str">
        <f>'4. Flexible Data'!D15</f>
        <v>Flexible Data - Separate Product Content</v>
      </c>
      <c r="D21" s="311">
        <f>'4. Flexible Data'!E16</f>
        <v>0</v>
      </c>
      <c r="E21" s="315" t="str">
        <f>'4. Flexible Data'!F16</f>
        <v>EA Summary Comments</v>
      </c>
      <c r="G21" s="163" t="str">
        <f t="shared" si="25"/>
        <v>Sev1</v>
      </c>
      <c r="H21" s="163" t="s">
        <v>94</v>
      </c>
      <c r="I21" s="163" t="s">
        <v>94</v>
      </c>
      <c r="J21" s="355" t="s">
        <v>675</v>
      </c>
      <c r="K21" s="202" t="str">
        <f t="shared" si="29"/>
        <v>124</v>
      </c>
      <c r="L21" s="202">
        <f t="shared" si="30"/>
        <v>2</v>
      </c>
      <c r="M21" s="202">
        <f t="shared" si="26"/>
        <v>1</v>
      </c>
      <c r="N21" s="202" t="str">
        <f t="shared" si="31"/>
        <v>INSERT INTO [dbo].[GoldenRuleStreamliningAttributes]
           ([ID], [Impact]
           ,[Likelihood]
           ,[Difficulty]
           ,[ModifiedTime]
           ,[ModifiedByUserId])
     VALUES
           (124,2,1,5,getdate(),CURRENT_USER)</v>
      </c>
    </row>
    <row r="22" spans="1:14" ht="24.75" customHeight="1" x14ac:dyDescent="0.2">
      <c r="A22" s="305" t="str">
        <f>'4. Flexible Data'!A19</f>
        <v>GR:126</v>
      </c>
      <c r="B22" s="203" t="str">
        <f>'4. Flexible Data'!C19</f>
        <v>4.4</v>
      </c>
      <c r="C22" s="316" t="str">
        <f>'4. Flexible Data'!D19</f>
        <v>Flexible Data - Fidelity</v>
      </c>
      <c r="D22" s="311">
        <f>'4. Flexible Data'!E20</f>
        <v>0</v>
      </c>
      <c r="E22" s="315" t="str">
        <f>'4. Flexible Data'!F20</f>
        <v>EA Summary Comments</v>
      </c>
      <c r="G22" s="163" t="str">
        <f t="shared" si="25"/>
        <v>Sev3</v>
      </c>
      <c r="H22" s="163" t="s">
        <v>93</v>
      </c>
      <c r="I22" s="163" t="s">
        <v>93</v>
      </c>
      <c r="J22" s="355" t="s">
        <v>675</v>
      </c>
      <c r="K22" s="202" t="str">
        <f t="shared" ref="K22:K23" si="32">MID(A22,FIND(":",A22)+1,4)</f>
        <v>126</v>
      </c>
      <c r="L22" s="202">
        <f t="shared" si="30"/>
        <v>3</v>
      </c>
      <c r="M22" s="202">
        <f t="shared" si="26"/>
        <v>2</v>
      </c>
      <c r="N22" s="202" t="str">
        <f t="shared" si="31"/>
        <v>INSERT INTO [dbo].[GoldenRuleStreamliningAttributes]
           ([ID], [Impact]
           ,[Likelihood]
           ,[Difficulty]
           ,[ModifiedTime]
           ,[ModifiedByUserId])
     VALUES
           (126,3,2,5,getdate(),CURRENT_USER)</v>
      </c>
    </row>
    <row r="23" spans="1:14" ht="24.75" customHeight="1" thickBot="1" x14ac:dyDescent="0.25">
      <c r="A23" s="305" t="str">
        <f>'4. Flexible Data'!A22</f>
        <v>GR:145</v>
      </c>
      <c r="B23" s="327" t="str">
        <f>'4. Flexible Data'!C22</f>
        <v>4.5</v>
      </c>
      <c r="C23" s="328" t="str">
        <f>'4. Flexible Data'!D22</f>
        <v>Flexible Data - Data Handling</v>
      </c>
      <c r="D23" s="329">
        <f>'4. Flexible Data'!E23</f>
        <v>0</v>
      </c>
      <c r="E23" s="320" t="str">
        <f>'4. Flexible Data'!F23</f>
        <v>EA Summary Comments</v>
      </c>
      <c r="G23" s="163" t="str">
        <f t="shared" si="25"/>
        <v>Sev3</v>
      </c>
      <c r="H23" s="163" t="s">
        <v>93</v>
      </c>
      <c r="I23" s="163" t="s">
        <v>93</v>
      </c>
      <c r="J23" s="355" t="s">
        <v>675</v>
      </c>
      <c r="K23" s="202" t="str">
        <f t="shared" si="32"/>
        <v>145</v>
      </c>
      <c r="L23" s="202">
        <f t="shared" si="30"/>
        <v>3</v>
      </c>
      <c r="M23" s="202">
        <f t="shared" si="26"/>
        <v>2</v>
      </c>
      <c r="N23" s="202" t="str">
        <f t="shared" si="31"/>
        <v>INSERT INTO [dbo].[GoldenRuleStreamliningAttributes]
           ([ID], [Impact]
           ,[Likelihood]
           ,[Difficulty]
           ,[ModifiedTime]
           ,[ModifiedByUserId])
     VALUES
           (145,3,2,5,getdate(),CURRENT_USER)</v>
      </c>
    </row>
    <row r="24" spans="1:14" ht="24.75" customHeight="1" thickTop="1" x14ac:dyDescent="0.2">
      <c r="A24" s="305" t="str">
        <f>'5. Global Data'!A1</f>
        <v>P:17</v>
      </c>
      <c r="B24" s="313">
        <f>'5. Global Data'!C1</f>
        <v>5</v>
      </c>
      <c r="C24" s="319" t="str">
        <f>'5. Global Data'!D1</f>
        <v>Global Data</v>
      </c>
      <c r="D24" s="311">
        <f>'5. Global Data'!E2</f>
        <v>0</v>
      </c>
      <c r="E24" s="314" t="str">
        <f>'5. Global Data'!F2</f>
        <v>EA Summary Comments</v>
      </c>
      <c r="G24" s="163" t="str">
        <f t="shared" si="5"/>
        <v>Sev2</v>
      </c>
      <c r="H24" s="163" t="s">
        <v>94</v>
      </c>
      <c r="I24" s="163" t="s">
        <v>93</v>
      </c>
      <c r="J24" s="355" t="s">
        <v>675</v>
      </c>
      <c r="K24" s="202" t="str">
        <f t="shared" ref="K24" si="33">MID(A24,FIND(":",A24)+1,4)</f>
        <v>17</v>
      </c>
      <c r="L24" s="202">
        <f t="shared" si="30"/>
        <v>2</v>
      </c>
      <c r="M24" s="202">
        <f t="shared" si="8"/>
        <v>2</v>
      </c>
      <c r="N24" s="202" t="str">
        <f t="shared" si="31"/>
        <v>INSERT INTO [dbo].[GoldenRuleStreamliningAttributes]
           ([ID], [Impact]
           ,[Likelihood]
           ,[Difficulty]
           ,[ModifiedTime]
           ,[ModifiedByUserId])
     VALUES
           (17,2,2,5,getdate(),CURRENT_USER)</v>
      </c>
    </row>
    <row r="25" spans="1:14" ht="24.75" customHeight="1" x14ac:dyDescent="0.2">
      <c r="A25" s="305" t="str">
        <f>'5. Global Data'!A5</f>
        <v>GR:121</v>
      </c>
      <c r="B25" s="203" t="str">
        <f>'5. Global Data'!C5</f>
        <v>5.1</v>
      </c>
      <c r="C25" s="316" t="str">
        <f>'5. Global Data'!D5</f>
        <v>Global Data - Number-Centric Data Handling</v>
      </c>
      <c r="D25" s="311">
        <f>'5. Global Data'!E6</f>
        <v>0</v>
      </c>
      <c r="E25" s="315" t="str">
        <f>'5. Global Data'!F6</f>
        <v>EA Summary Comments</v>
      </c>
      <c r="G25" s="163" t="str">
        <f t="shared" si="5"/>
        <v>Sev2</v>
      </c>
      <c r="H25" s="163" t="s">
        <v>94</v>
      </c>
      <c r="I25" s="163" t="s">
        <v>93</v>
      </c>
      <c r="J25" s="355" t="s">
        <v>675</v>
      </c>
      <c r="K25" s="202" t="str">
        <f t="shared" ref="K25" si="34">MID(A25,FIND(":",A25)+1,4)</f>
        <v>121</v>
      </c>
      <c r="L25" s="202">
        <f t="shared" si="30"/>
        <v>2</v>
      </c>
      <c r="M25" s="202">
        <f t="shared" si="8"/>
        <v>2</v>
      </c>
      <c r="N25" s="202" t="str">
        <f t="shared" si="31"/>
        <v>INSERT INTO [dbo].[GoldenRuleStreamliningAttributes]
           ([ID], [Impact]
           ,[Likelihood]
           ,[Difficulty]
           ,[ModifiedTime]
           ,[ModifiedByUserId])
     VALUES
           (121,2,2,5,getdate(),CURRENT_USER)</v>
      </c>
    </row>
    <row r="26" spans="1:14" customFormat="1" ht="12.75" x14ac:dyDescent="0.2"/>
    <row r="27" spans="1:14" customFormat="1" ht="12.75" x14ac:dyDescent="0.2"/>
    <row r="28" spans="1:14" customFormat="1" ht="12.75" x14ac:dyDescent="0.2"/>
    <row r="29" spans="1:14" customFormat="1" ht="12.75" x14ac:dyDescent="0.2"/>
    <row r="30" spans="1:14" customFormat="1" ht="12.75" x14ac:dyDescent="0.2"/>
    <row r="31" spans="1:14" customFormat="1" ht="12.75" x14ac:dyDescent="0.2"/>
    <row r="32" spans="1:14" customFormat="1" ht="12.75" x14ac:dyDescent="0.2"/>
    <row r="33" customFormat="1" ht="12.75" x14ac:dyDescent="0.2"/>
    <row r="34" customFormat="1" ht="12.75" x14ac:dyDescent="0.2"/>
    <row r="35" customFormat="1" ht="12.75" x14ac:dyDescent="0.2"/>
    <row r="36" customFormat="1" ht="12.75" x14ac:dyDescent="0.2"/>
    <row r="37" customFormat="1" ht="12.75" x14ac:dyDescent="0.2"/>
    <row r="38" customFormat="1" ht="12.75" x14ac:dyDescent="0.2"/>
    <row r="39" customFormat="1" ht="12.75" x14ac:dyDescent="0.2"/>
    <row r="40" customFormat="1" ht="12.75" x14ac:dyDescent="0.2"/>
    <row r="41" customFormat="1" ht="12.75" x14ac:dyDescent="0.2"/>
    <row r="42" customFormat="1" ht="12.75" x14ac:dyDescent="0.2"/>
    <row r="43" customFormat="1" ht="12.75" x14ac:dyDescent="0.2"/>
    <row r="44" customFormat="1" ht="12.75" x14ac:dyDescent="0.2"/>
    <row r="45" customFormat="1" ht="12.75" x14ac:dyDescent="0.2"/>
    <row r="46" customFormat="1" ht="12.75" x14ac:dyDescent="0.2"/>
    <row r="47" customFormat="1" ht="12.75" x14ac:dyDescent="0.2"/>
    <row r="48" customFormat="1" ht="12.75" x14ac:dyDescent="0.2"/>
    <row r="49" customFormat="1" ht="12.75" x14ac:dyDescent="0.2"/>
    <row r="50" customFormat="1" ht="12.75" x14ac:dyDescent="0.2"/>
    <row r="51" customFormat="1" ht="12.75" x14ac:dyDescent="0.2"/>
    <row r="52" customFormat="1" ht="12.75" x14ac:dyDescent="0.2"/>
    <row r="53" customFormat="1" ht="12.75" x14ac:dyDescent="0.2"/>
    <row r="54" customFormat="1" ht="12.75" x14ac:dyDescent="0.2"/>
    <row r="55" customFormat="1" ht="12.75" x14ac:dyDescent="0.2"/>
    <row r="56" customFormat="1" ht="12.75" x14ac:dyDescent="0.2"/>
    <row r="57" customFormat="1" ht="12.75" x14ac:dyDescent="0.2"/>
  </sheetData>
  <sheetProtection algorithmName="SHA-512" hashValue="WbHYS85r4naS/IYamt1EuBbQhRqiMrKrFb3mdNuvayHbxg45K49h67YfDSYx9k8nHVcrRWFkOT7ayg3UYJUg0g==" saltValue="vl6rj+Y7MEAGZyXH3a3gBw==" spinCount="100000" sheet="1" objects="1" scenarios="1" formatColumns="0" formatRows="0"/>
  <mergeCells count="1">
    <mergeCell ref="B1:E1"/>
  </mergeCells>
  <phoneticPr fontId="2" type="noConversion"/>
  <conditionalFormatting sqref="D3:D11 D15:D22 D24:D25">
    <cfRule type="expression" dxfId="204" priority="61" stopIfTrue="1">
      <formula>EXACT(D3,"WVR")</formula>
    </cfRule>
    <cfRule type="expression" dxfId="203" priority="62" stopIfTrue="1">
      <formula>EXACT(D3,"N/A")</formula>
    </cfRule>
    <cfRule type="expression" dxfId="202" priority="63" stopIfTrue="1">
      <formula>EXACT(D3,"R")</formula>
    </cfRule>
    <cfRule type="expression" dxfId="201" priority="64" stopIfTrue="1">
      <formula>EXACT(D3,"Y")</formula>
    </cfRule>
    <cfRule type="expression" dxfId="200" priority="65" stopIfTrue="1">
      <formula>EXACT(D3,"G")</formula>
    </cfRule>
  </conditionalFormatting>
  <conditionalFormatting sqref="D23">
    <cfRule type="expression" dxfId="199" priority="46" stopIfTrue="1">
      <formula>EXACT(D23,"WVR")</formula>
    </cfRule>
    <cfRule type="expression" dxfId="198" priority="47" stopIfTrue="1">
      <formula>EXACT(D23,"N/A")</formula>
    </cfRule>
    <cfRule type="expression" dxfId="197" priority="48" stopIfTrue="1">
      <formula>EXACT(D23,"R")</formula>
    </cfRule>
    <cfRule type="expression" dxfId="196" priority="49" stopIfTrue="1">
      <formula>EXACT(D23,"Y")</formula>
    </cfRule>
    <cfRule type="expression" dxfId="195" priority="50" stopIfTrue="1">
      <formula>EXACT(D23,"G")</formula>
    </cfRule>
  </conditionalFormatting>
  <conditionalFormatting sqref="G4:G9 G15:G25 G11">
    <cfRule type="cellIs" dxfId="194" priority="41" operator="equal">
      <formula>"Guidance"</formula>
    </cfRule>
    <cfRule type="cellIs" dxfId="193" priority="42" operator="equal">
      <formula>"Sev4"</formula>
    </cfRule>
    <cfRule type="cellIs" dxfId="192" priority="43" operator="equal">
      <formula>"Sev3"</formula>
    </cfRule>
    <cfRule type="cellIs" dxfId="191" priority="44" operator="equal">
      <formula>"Sev2"</formula>
    </cfRule>
    <cfRule type="cellIs" dxfId="190" priority="45" operator="equal">
      <formula>"Sev1"</formula>
    </cfRule>
  </conditionalFormatting>
  <conditionalFormatting sqref="D14">
    <cfRule type="expression" dxfId="189" priority="36" stopIfTrue="1">
      <formula>EXACT(D14,"WVR")</formula>
    </cfRule>
    <cfRule type="expression" dxfId="188" priority="37" stopIfTrue="1">
      <formula>EXACT(D14,"N/A")</formula>
    </cfRule>
    <cfRule type="expression" dxfId="187" priority="38" stopIfTrue="1">
      <formula>EXACT(D14,"R")</formula>
    </cfRule>
    <cfRule type="expression" dxfId="186" priority="39" stopIfTrue="1">
      <formula>EXACT(D14,"Y")</formula>
    </cfRule>
    <cfRule type="expression" dxfId="185" priority="40" stopIfTrue="1">
      <formula>EXACT(D14,"G")</formula>
    </cfRule>
  </conditionalFormatting>
  <conditionalFormatting sqref="G14">
    <cfRule type="cellIs" dxfId="184" priority="31" operator="equal">
      <formula>"Guidance"</formula>
    </cfRule>
    <cfRule type="cellIs" dxfId="183" priority="32" operator="equal">
      <formula>"Sev4"</formula>
    </cfRule>
    <cfRule type="cellIs" dxfId="182" priority="33" operator="equal">
      <formula>"Sev3"</formula>
    </cfRule>
    <cfRule type="cellIs" dxfId="181" priority="34" operator="equal">
      <formula>"Sev2"</formula>
    </cfRule>
    <cfRule type="cellIs" dxfId="180" priority="35" operator="equal">
      <formula>"Sev1"</formula>
    </cfRule>
  </conditionalFormatting>
  <conditionalFormatting sqref="D12">
    <cfRule type="expression" dxfId="179" priority="26" stopIfTrue="1">
      <formula>EXACT(D12,"WVR")</formula>
    </cfRule>
    <cfRule type="expression" dxfId="178" priority="27" stopIfTrue="1">
      <formula>EXACT(D12,"N/A")</formula>
    </cfRule>
    <cfRule type="expression" dxfId="177" priority="28" stopIfTrue="1">
      <formula>EXACT(D12,"R")</formula>
    </cfRule>
    <cfRule type="expression" dxfId="176" priority="29" stopIfTrue="1">
      <formula>EXACT(D12,"Y")</formula>
    </cfRule>
    <cfRule type="expression" dxfId="175" priority="30" stopIfTrue="1">
      <formula>EXACT(D12,"G")</formula>
    </cfRule>
  </conditionalFormatting>
  <conditionalFormatting sqref="G12">
    <cfRule type="cellIs" dxfId="174" priority="21" operator="equal">
      <formula>"Guidance"</formula>
    </cfRule>
    <cfRule type="cellIs" dxfId="173" priority="22" operator="equal">
      <formula>"Sev4"</formula>
    </cfRule>
    <cfRule type="cellIs" dxfId="172" priority="23" operator="equal">
      <formula>"Sev3"</formula>
    </cfRule>
    <cfRule type="cellIs" dxfId="171" priority="24" operator="equal">
      <formula>"Sev2"</formula>
    </cfRule>
    <cfRule type="cellIs" dxfId="170" priority="25" operator="equal">
      <formula>"Sev1"</formula>
    </cfRule>
  </conditionalFormatting>
  <conditionalFormatting sqref="D13">
    <cfRule type="expression" dxfId="169" priority="16" stopIfTrue="1">
      <formula>EXACT(D13,"WVR")</formula>
    </cfRule>
    <cfRule type="expression" dxfId="168" priority="17" stopIfTrue="1">
      <formula>EXACT(D13,"N/A")</formula>
    </cfRule>
    <cfRule type="expression" dxfId="167" priority="18" stopIfTrue="1">
      <formula>EXACT(D13,"R")</formula>
    </cfRule>
    <cfRule type="expression" dxfId="166" priority="19" stopIfTrue="1">
      <formula>EXACT(D13,"Y")</formula>
    </cfRule>
    <cfRule type="expression" dxfId="165" priority="20" stopIfTrue="1">
      <formula>EXACT(D13,"G")</formula>
    </cfRule>
  </conditionalFormatting>
  <conditionalFormatting sqref="G13">
    <cfRule type="cellIs" dxfId="164" priority="11" operator="equal">
      <formula>"Guidance"</formula>
    </cfRule>
    <cfRule type="cellIs" dxfId="163" priority="12" operator="equal">
      <formula>"Sev4"</formula>
    </cfRule>
    <cfRule type="cellIs" dxfId="162" priority="13" operator="equal">
      <formula>"Sev3"</formula>
    </cfRule>
    <cfRule type="cellIs" dxfId="161" priority="14" operator="equal">
      <formula>"Sev2"</formula>
    </cfRule>
    <cfRule type="cellIs" dxfId="160" priority="15" operator="equal">
      <formula>"Sev1"</formula>
    </cfRule>
  </conditionalFormatting>
  <conditionalFormatting sqref="G3">
    <cfRule type="cellIs" dxfId="159" priority="6" operator="equal">
      <formula>"Guidance"</formula>
    </cfRule>
    <cfRule type="cellIs" dxfId="158" priority="7" operator="equal">
      <formula>"Sev4"</formula>
    </cfRule>
    <cfRule type="cellIs" dxfId="157" priority="8" operator="equal">
      <formula>"Sev3"</formula>
    </cfRule>
    <cfRule type="cellIs" dxfId="156" priority="9" operator="equal">
      <formula>"Sev2"</formula>
    </cfRule>
    <cfRule type="cellIs" dxfId="155" priority="10" operator="equal">
      <formula>"Sev1"</formula>
    </cfRule>
  </conditionalFormatting>
  <conditionalFormatting sqref="G10">
    <cfRule type="cellIs" dxfId="154" priority="1" operator="equal">
      <formula>"Guidance"</formula>
    </cfRule>
    <cfRule type="cellIs" dxfId="153" priority="2" operator="equal">
      <formula>"Sev4"</formula>
    </cfRule>
    <cfRule type="cellIs" dxfId="152" priority="3" operator="equal">
      <formula>"Sev3"</formula>
    </cfRule>
    <cfRule type="cellIs" dxfId="151" priority="4" operator="equal">
      <formula>"Sev2"</formula>
    </cfRule>
    <cfRule type="cellIs" dxfId="150" priority="5" operator="equal">
      <formula>"Sev1"</formula>
    </cfRule>
  </conditionalFormatting>
  <pageMargins left="0.25" right="0.25" top="0.75" bottom="0.75" header="0.3" footer="0.3"/>
  <pageSetup scale="29" fitToHeight="100" orientation="landscape" r:id="rId1"/>
  <headerFooter alignWithMargins="0">
    <oddHeader>&amp;L&amp;F&amp;C&amp;A&amp;R&amp;D</oddHeader>
    <oddFooter>&amp;C&amp;P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fitToPage="1"/>
  </sheetPr>
  <dimension ref="A1:V13"/>
  <sheetViews>
    <sheetView zoomScaleNormal="100" workbookViewId="0">
      <pane ySplit="4" topLeftCell="A5" activePane="bottomLeft" state="frozenSplit"/>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22" width="3.85546875" customWidth="1"/>
  </cols>
  <sheetData>
    <row r="1" spans="1:22" ht="22.5" x14ac:dyDescent="0.2">
      <c r="A1" t="s">
        <v>295</v>
      </c>
      <c r="B1" s="302" t="s">
        <v>59</v>
      </c>
      <c r="C1" s="303">
        <v>1</v>
      </c>
      <c r="D1" s="470" t="s">
        <v>406</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24" customHeight="1" x14ac:dyDescent="0.2">
      <c r="B2" s="468" t="s">
        <v>566</v>
      </c>
      <c r="C2" s="468"/>
      <c r="D2" s="468"/>
      <c r="E2" s="106"/>
      <c r="F2" s="235" t="s">
        <v>20</v>
      </c>
      <c r="G2" s="210"/>
      <c r="H2" s="104"/>
      <c r="I2" s="473" t="s">
        <v>480</v>
      </c>
      <c r="J2" s="473"/>
      <c r="K2" s="473" t="s">
        <v>481</v>
      </c>
      <c r="L2" s="473"/>
      <c r="M2" s="473" t="s">
        <v>388</v>
      </c>
      <c r="N2" s="473"/>
      <c r="O2" s="473" t="s">
        <v>389</v>
      </c>
      <c r="P2" s="473"/>
      <c r="Q2" s="473" t="s">
        <v>390</v>
      </c>
      <c r="R2" s="473"/>
      <c r="S2" s="473" t="s">
        <v>391</v>
      </c>
      <c r="T2" s="473"/>
      <c r="U2" s="473" t="s">
        <v>538</v>
      </c>
      <c r="V2" s="473"/>
    </row>
    <row r="3" spans="1:22" x14ac:dyDescent="0.2">
      <c r="B3" s="32"/>
      <c r="C3" s="32"/>
      <c r="D3" s="32"/>
      <c r="E3" s="178"/>
      <c r="F3" s="179"/>
      <c r="G3" s="180"/>
      <c r="H3" s="104"/>
      <c r="I3" s="73"/>
      <c r="J3" s="73"/>
      <c r="K3" s="73"/>
      <c r="L3" s="73"/>
      <c r="M3" s="176"/>
      <c r="N3" s="176"/>
      <c r="O3" s="73"/>
      <c r="P3" s="73"/>
      <c r="Q3" s="73"/>
      <c r="R3" s="73"/>
      <c r="S3" s="73"/>
      <c r="T3" s="73"/>
      <c r="U3" s="73"/>
      <c r="V3" s="73"/>
    </row>
    <row r="4" spans="1:22" ht="25.5" x14ac:dyDescent="0.2">
      <c r="B4" s="48" t="s">
        <v>31</v>
      </c>
      <c r="C4" s="48" t="s">
        <v>32</v>
      </c>
      <c r="D4" s="48" t="s">
        <v>23</v>
      </c>
      <c r="E4" s="209" t="s">
        <v>12</v>
      </c>
      <c r="F4" s="208" t="s">
        <v>24</v>
      </c>
      <c r="G4" s="209" t="s">
        <v>215</v>
      </c>
      <c r="H4" s="104"/>
      <c r="I4" s="72" t="s">
        <v>60</v>
      </c>
      <c r="J4" s="72" t="s">
        <v>60</v>
      </c>
      <c r="K4" s="72" t="s">
        <v>60</v>
      </c>
      <c r="L4" s="72" t="s">
        <v>60</v>
      </c>
      <c r="M4" s="98" t="s">
        <v>60</v>
      </c>
      <c r="N4" s="98" t="s">
        <v>60</v>
      </c>
      <c r="O4" s="72" t="s">
        <v>60</v>
      </c>
      <c r="P4" s="72" t="s">
        <v>60</v>
      </c>
      <c r="Q4" s="72" t="s">
        <v>60</v>
      </c>
      <c r="R4" s="72" t="s">
        <v>60</v>
      </c>
      <c r="S4" s="72" t="s">
        <v>60</v>
      </c>
      <c r="T4" s="72" t="s">
        <v>60</v>
      </c>
      <c r="U4" s="72" t="s">
        <v>60</v>
      </c>
      <c r="V4" s="72" t="s">
        <v>60</v>
      </c>
    </row>
    <row r="5" spans="1:22" x14ac:dyDescent="0.2">
      <c r="A5" t="s">
        <v>296</v>
      </c>
      <c r="B5" s="181" t="s">
        <v>59</v>
      </c>
      <c r="C5" s="321" t="s">
        <v>398</v>
      </c>
      <c r="D5" s="465" t="s">
        <v>407</v>
      </c>
      <c r="E5" s="466"/>
      <c r="F5" s="466"/>
      <c r="G5" s="467"/>
      <c r="H5" s="226" t="str">
        <f>HYPERLINK(CONCATENATE("http://garwiki.regn.net/mediawiki/index.php/",SUBSTITUTE(D5," ","_"),"_(golden_rule)"),"?")</f>
        <v>?</v>
      </c>
      <c r="I5" s="94" t="str">
        <f>I6</f>
        <v>x</v>
      </c>
      <c r="J5" s="94" t="str">
        <f t="shared" ref="J5:V5" si="0">J6</f>
        <v>x</v>
      </c>
      <c r="K5" s="94" t="str">
        <f>K6</f>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U6</f>
        <v>x</v>
      </c>
      <c r="V5" s="94" t="str">
        <f t="shared" si="0"/>
        <v>x</v>
      </c>
    </row>
    <row r="6" spans="1:22" x14ac:dyDescent="0.2">
      <c r="B6" s="468" t="s">
        <v>590</v>
      </c>
      <c r="C6" s="469"/>
      <c r="D6" s="468"/>
      <c r="E6" s="106"/>
      <c r="F6" s="108" t="s">
        <v>20</v>
      </c>
      <c r="G6" s="110"/>
      <c r="H6" s="104"/>
      <c r="I6" s="72" t="str">
        <f>IF(COUNTIF(I7:I10,"x")=0,"","x")</f>
        <v>x</v>
      </c>
      <c r="J6" s="72" t="str">
        <f t="shared" ref="J6:V6" si="1">IF(COUNTIF(J7:J10,"x")=0,"","x")</f>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ht="63.75" x14ac:dyDescent="0.2">
      <c r="A7" t="s">
        <v>297</v>
      </c>
      <c r="B7" s="182" t="s">
        <v>33</v>
      </c>
      <c r="C7" s="322" t="s">
        <v>34</v>
      </c>
      <c r="D7" s="52" t="s">
        <v>691</v>
      </c>
      <c r="E7" s="106"/>
      <c r="F7" s="237"/>
      <c r="G7" s="109"/>
      <c r="H7" s="226" t="str">
        <f>HYPERLINK(CONCATENATE("http://garwiki.regn.net/mediawiki/index.php/Scorecard_Rule_",MID(A7,FIND(":",A7)+1,9)),"?")</f>
        <v>?</v>
      </c>
      <c r="I7" s="72" t="s">
        <v>60</v>
      </c>
      <c r="J7" s="72" t="s">
        <v>60</v>
      </c>
      <c r="K7" s="72" t="s">
        <v>60</v>
      </c>
      <c r="L7" s="72" t="s">
        <v>60</v>
      </c>
      <c r="M7" s="176" t="s">
        <v>60</v>
      </c>
      <c r="N7" s="176" t="s">
        <v>60</v>
      </c>
      <c r="O7" s="72" t="s">
        <v>60</v>
      </c>
      <c r="P7" s="72" t="s">
        <v>60</v>
      </c>
      <c r="Q7" s="72" t="s">
        <v>60</v>
      </c>
      <c r="R7" s="72" t="s">
        <v>60</v>
      </c>
      <c r="S7" s="72" t="s">
        <v>60</v>
      </c>
      <c r="T7" s="72" t="s">
        <v>60</v>
      </c>
      <c r="U7" s="72" t="s">
        <v>60</v>
      </c>
      <c r="V7" s="72" t="s">
        <v>60</v>
      </c>
    </row>
    <row r="8" spans="1:22" ht="25.5" x14ac:dyDescent="0.2">
      <c r="A8" t="s">
        <v>298</v>
      </c>
      <c r="B8" s="182" t="s">
        <v>33</v>
      </c>
      <c r="C8" s="55" t="s">
        <v>593</v>
      </c>
      <c r="D8" s="52" t="s">
        <v>591</v>
      </c>
      <c r="E8" s="106"/>
      <c r="F8" s="242"/>
      <c r="G8" s="109"/>
      <c r="H8" s="226" t="str">
        <f t="shared" ref="H8" si="2">HYPERLINK(CONCATENATE("http://garwiki.regn.net/mediawiki/index.php/Scorecard_Rule_",MID(A8,FIND(":",A8)+1,9)),"?")</f>
        <v>?</v>
      </c>
      <c r="I8" s="72" t="s">
        <v>60</v>
      </c>
      <c r="J8" s="73" t="s">
        <v>60</v>
      </c>
      <c r="K8" s="72" t="s">
        <v>60</v>
      </c>
      <c r="L8" s="73" t="s">
        <v>60</v>
      </c>
      <c r="M8" s="176" t="s">
        <v>60</v>
      </c>
      <c r="N8" s="176" t="s">
        <v>60</v>
      </c>
      <c r="O8" s="73" t="s">
        <v>60</v>
      </c>
      <c r="P8" s="73" t="s">
        <v>60</v>
      </c>
      <c r="Q8" s="73" t="s">
        <v>60</v>
      </c>
      <c r="R8" s="73" t="s">
        <v>60</v>
      </c>
      <c r="S8" s="73" t="s">
        <v>60</v>
      </c>
      <c r="T8" s="73" t="s">
        <v>60</v>
      </c>
      <c r="U8" s="72" t="s">
        <v>60</v>
      </c>
      <c r="V8" s="73" t="s">
        <v>60</v>
      </c>
    </row>
    <row r="9" spans="1:22" ht="38.25" x14ac:dyDescent="0.2">
      <c r="A9" t="s">
        <v>299</v>
      </c>
      <c r="B9" s="182" t="s">
        <v>33</v>
      </c>
      <c r="C9" s="322" t="s">
        <v>594</v>
      </c>
      <c r="D9" s="52" t="s">
        <v>592</v>
      </c>
      <c r="E9" s="106"/>
      <c r="F9" s="242"/>
      <c r="G9" s="109"/>
      <c r="H9" s="226" t="str">
        <f t="shared" ref="H9" si="3">HYPERLINK(CONCATENATE("http://garwiki.regn.net/mediawiki/index.php/Scorecard_Rule_",MID(A9,FIND(":",A9)+1,9)),"?")</f>
        <v>?</v>
      </c>
      <c r="I9" s="72" t="s">
        <v>60</v>
      </c>
      <c r="J9" s="72" t="s">
        <v>60</v>
      </c>
      <c r="K9" s="72" t="s">
        <v>60</v>
      </c>
      <c r="L9" s="72" t="s">
        <v>60</v>
      </c>
      <c r="M9" s="97" t="s">
        <v>60</v>
      </c>
      <c r="N9" s="97" t="s">
        <v>60</v>
      </c>
      <c r="O9" s="73" t="s">
        <v>60</v>
      </c>
      <c r="P9" s="72" t="s">
        <v>60</v>
      </c>
      <c r="Q9" s="73" t="s">
        <v>60</v>
      </c>
      <c r="R9" s="72" t="s">
        <v>60</v>
      </c>
      <c r="S9" s="73" t="s">
        <v>60</v>
      </c>
      <c r="T9" s="72" t="s">
        <v>60</v>
      </c>
      <c r="U9" s="72" t="s">
        <v>60</v>
      </c>
      <c r="V9" s="72" t="s">
        <v>60</v>
      </c>
    </row>
    <row r="10" spans="1:22" ht="38.25" x14ac:dyDescent="0.2">
      <c r="A10" t="s">
        <v>294</v>
      </c>
      <c r="B10" s="47" t="s">
        <v>33</v>
      </c>
      <c r="C10" s="338" t="s">
        <v>595</v>
      </c>
      <c r="D10" s="45" t="s">
        <v>589</v>
      </c>
      <c r="E10" s="105"/>
      <c r="F10" s="236"/>
      <c r="G10" s="107"/>
      <c r="H10" s="226" t="str">
        <f>HYPERLINK(CONCATENATE("http://garwiki.regn.net/mediawiki/index.php/Scorecard_Rule_",MID(A10,FIND(":",A10)+1,9)),"?")</f>
        <v>?</v>
      </c>
      <c r="I10" s="72" t="s">
        <v>60</v>
      </c>
      <c r="J10" s="72" t="s">
        <v>60</v>
      </c>
      <c r="K10" s="72" t="s">
        <v>60</v>
      </c>
      <c r="L10" s="72" t="s">
        <v>60</v>
      </c>
      <c r="M10" s="72" t="s">
        <v>60</v>
      </c>
      <c r="N10" s="72" t="s">
        <v>60</v>
      </c>
      <c r="O10" s="72" t="s">
        <v>60</v>
      </c>
      <c r="P10" s="72" t="s">
        <v>60</v>
      </c>
      <c r="Q10" s="72" t="s">
        <v>60</v>
      </c>
      <c r="R10" s="72" t="s">
        <v>60</v>
      </c>
      <c r="S10" s="72" t="s">
        <v>60</v>
      </c>
      <c r="T10" s="72" t="s">
        <v>60</v>
      </c>
      <c r="U10" s="72" t="s">
        <v>60</v>
      </c>
      <c r="V10" s="72" t="s">
        <v>60</v>
      </c>
    </row>
    <row r="11" spans="1:22" x14ac:dyDescent="0.2">
      <c r="A11" t="s">
        <v>468</v>
      </c>
      <c r="B11" s="181" t="s">
        <v>59</v>
      </c>
      <c r="C11" s="321" t="s">
        <v>596</v>
      </c>
      <c r="D11" s="465" t="s">
        <v>463</v>
      </c>
      <c r="E11" s="466"/>
      <c r="F11" s="466"/>
      <c r="G11" s="467"/>
      <c r="H11" s="226" t="str">
        <f>HYPERLINK(CONCATENATE("http://garwiki.regn.net/mediawiki/index.php/",SUBSTITUTE(D11," ","_"),"_(golden_rule)"),"?")</f>
        <v>?</v>
      </c>
      <c r="I11" s="94" t="str">
        <f>I12</f>
        <v>x</v>
      </c>
      <c r="J11" s="94" t="str">
        <f t="shared" ref="J11:V11" si="4">J12</f>
        <v>x</v>
      </c>
      <c r="K11" s="94" t="str">
        <f>K12</f>
        <v>x</v>
      </c>
      <c r="L11" s="94" t="str">
        <f t="shared" si="4"/>
        <v>x</v>
      </c>
      <c r="M11" s="94" t="str">
        <f t="shared" si="4"/>
        <v>x</v>
      </c>
      <c r="N11" s="94" t="str">
        <f t="shared" si="4"/>
        <v>x</v>
      </c>
      <c r="O11" s="94" t="str">
        <f t="shared" si="4"/>
        <v>x</v>
      </c>
      <c r="P11" s="94" t="str">
        <f t="shared" si="4"/>
        <v>x</v>
      </c>
      <c r="Q11" s="94" t="str">
        <f t="shared" si="4"/>
        <v>x</v>
      </c>
      <c r="R11" s="94" t="str">
        <f t="shared" si="4"/>
        <v>x</v>
      </c>
      <c r="S11" s="94" t="str">
        <f t="shared" si="4"/>
        <v>x</v>
      </c>
      <c r="T11" s="94" t="str">
        <f t="shared" si="4"/>
        <v>x</v>
      </c>
      <c r="U11" s="94" t="str">
        <f>U12</f>
        <v>x</v>
      </c>
      <c r="V11" s="94" t="str">
        <f t="shared" si="4"/>
        <v>x</v>
      </c>
    </row>
    <row r="12" spans="1:22" ht="24.75" customHeight="1" x14ac:dyDescent="0.2">
      <c r="B12" s="468" t="s">
        <v>464</v>
      </c>
      <c r="C12" s="469"/>
      <c r="D12" s="468"/>
      <c r="E12" s="106"/>
      <c r="F12" s="108" t="s">
        <v>20</v>
      </c>
      <c r="G12" s="111"/>
      <c r="H12" s="226"/>
      <c r="I12" s="72" t="str">
        <f>IF(COUNTIF(I13:I13,"x")=0,"","x")</f>
        <v>x</v>
      </c>
      <c r="J12" s="72" t="str">
        <f t="shared" ref="J12:V12" si="5">IF(COUNTIF(J13:J13,"x")=0,"","x")</f>
        <v>x</v>
      </c>
      <c r="K12" s="72" t="str">
        <f>IF(COUNTIF(K13:K13,"x")=0,"","x")</f>
        <v>x</v>
      </c>
      <c r="L12" s="72" t="str">
        <f t="shared" si="5"/>
        <v>x</v>
      </c>
      <c r="M12" s="72" t="str">
        <f t="shared" si="5"/>
        <v>x</v>
      </c>
      <c r="N12" s="72" t="str">
        <f t="shared" si="5"/>
        <v>x</v>
      </c>
      <c r="O12" s="72" t="str">
        <f t="shared" si="5"/>
        <v>x</v>
      </c>
      <c r="P12" s="72" t="str">
        <f t="shared" si="5"/>
        <v>x</v>
      </c>
      <c r="Q12" s="72" t="str">
        <f t="shared" si="5"/>
        <v>x</v>
      </c>
      <c r="R12" s="72" t="str">
        <f t="shared" si="5"/>
        <v>x</v>
      </c>
      <c r="S12" s="72" t="str">
        <f t="shared" si="5"/>
        <v>x</v>
      </c>
      <c r="T12" s="72" t="str">
        <f t="shared" si="5"/>
        <v>x</v>
      </c>
      <c r="U12" s="72" t="str">
        <f>IF(COUNTIF(U13:U13,"x")=0,"","x")</f>
        <v>x</v>
      </c>
      <c r="V12" s="72" t="str">
        <f t="shared" si="5"/>
        <v>x</v>
      </c>
    </row>
    <row r="13" spans="1:22" ht="38.25" x14ac:dyDescent="0.2">
      <c r="A13" t="s">
        <v>469</v>
      </c>
      <c r="B13" s="182" t="s">
        <v>33</v>
      </c>
      <c r="C13" s="55" t="s">
        <v>597</v>
      </c>
      <c r="D13" s="52" t="s">
        <v>690</v>
      </c>
      <c r="E13" s="106"/>
      <c r="F13" s="242"/>
      <c r="G13" s="109"/>
      <c r="H13" s="226" t="str">
        <f t="shared" ref="H13" si="6">HYPERLINK(CONCATENATE("http://garwiki.regn.net/mediawiki/index.php/Scorecard_Rule_",MID(A13,FIND(":",A13)+1,9)),"?")</f>
        <v>?</v>
      </c>
      <c r="I13" s="72" t="s">
        <v>60</v>
      </c>
      <c r="J13" s="73" t="s">
        <v>60</v>
      </c>
      <c r="K13" s="72" t="s">
        <v>60</v>
      </c>
      <c r="L13" s="73" t="s">
        <v>60</v>
      </c>
      <c r="M13" s="267" t="s">
        <v>60</v>
      </c>
      <c r="N13" s="267" t="s">
        <v>60</v>
      </c>
      <c r="O13" s="73" t="s">
        <v>60</v>
      </c>
      <c r="P13" s="73" t="s">
        <v>60</v>
      </c>
      <c r="Q13" s="73" t="s">
        <v>60</v>
      </c>
      <c r="R13" s="73" t="s">
        <v>60</v>
      </c>
      <c r="S13" s="73" t="s">
        <v>60</v>
      </c>
      <c r="T13" s="73" t="s">
        <v>60</v>
      </c>
      <c r="U13" s="72" t="s">
        <v>60</v>
      </c>
      <c r="V13" s="73" t="s">
        <v>60</v>
      </c>
    </row>
  </sheetData>
  <sheetProtection algorithmName="SHA-512" hashValue="bO49rFypeiDOMfO1dyy3muxitCNrKVvyKwouMfhVCtSKXym8QwEDS1M85knGS4husiJb2FRPViMUeVrMeTcxHw==" saltValue="kdORE2z9Fh2gHu6lepfwsQ==" spinCount="100000" sheet="1" objects="1" scenarios="1" formatColumns="0" formatRows="0"/>
  <mergeCells count="13">
    <mergeCell ref="U2:V2"/>
    <mergeCell ref="I2:J2"/>
    <mergeCell ref="O2:P2"/>
    <mergeCell ref="Q2:R2"/>
    <mergeCell ref="S2:T2"/>
    <mergeCell ref="M2:N2"/>
    <mergeCell ref="K2:L2"/>
    <mergeCell ref="D11:G11"/>
    <mergeCell ref="B12:D12"/>
    <mergeCell ref="D1:G1"/>
    <mergeCell ref="D5:G5"/>
    <mergeCell ref="B2:D2"/>
    <mergeCell ref="B6:D6"/>
  </mergeCells>
  <phoneticPr fontId="2" type="noConversion"/>
  <conditionalFormatting sqref="E2:E9 E11:E13">
    <cfRule type="cellIs" dxfId="149" priority="11" stopIfTrue="1" operator="equal">
      <formula>"Yes-N/A"</formula>
    </cfRule>
    <cfRule type="cellIs" dxfId="148" priority="80" stopIfTrue="1" operator="equal">
      <formula>"T-WVR"</formula>
    </cfRule>
    <cfRule type="cellIs" dxfId="147" priority="81" stopIfTrue="1" operator="equal">
      <formula>"N/A"</formula>
    </cfRule>
    <cfRule type="cellIs" dxfId="146" priority="82" stopIfTrue="1" operator="equal">
      <formula>"P-WVR"</formula>
    </cfRule>
    <cfRule type="cellIs" dxfId="145" priority="83" stopIfTrue="1" operator="equal">
      <formula>"No"</formula>
    </cfRule>
    <cfRule type="cellIs" dxfId="144" priority="84" stopIfTrue="1" operator="equal">
      <formula>"Yes"</formula>
    </cfRule>
    <cfRule type="cellIs" dxfId="143" priority="90" stopIfTrue="1" operator="equal">
      <formula>"WVR"</formula>
    </cfRule>
    <cfRule type="cellIs" dxfId="142" priority="105" stopIfTrue="1" operator="equal">
      <formula>"R"</formula>
    </cfRule>
    <cfRule type="cellIs" dxfId="141" priority="106" stopIfTrue="1" operator="equal">
      <formula>"Y"</formula>
    </cfRule>
    <cfRule type="cellIs" dxfId="140" priority="107" stopIfTrue="1" operator="equal">
      <formula>"G"</formula>
    </cfRule>
  </conditionalFormatting>
  <conditionalFormatting sqref="E10">
    <cfRule type="cellIs" dxfId="139" priority="1" stopIfTrue="1" operator="equal">
      <formula>"N/A"</formula>
    </cfRule>
    <cfRule type="cellIs" dxfId="138" priority="2" stopIfTrue="1" operator="equal">
      <formula>"Yes-N/A"</formula>
    </cfRule>
    <cfRule type="cellIs" dxfId="137" priority="3" stopIfTrue="1" operator="equal">
      <formula>"P-WVR"</formula>
    </cfRule>
    <cfRule type="cellIs" dxfId="136" priority="4" stopIfTrue="1" operator="equal">
      <formula>"No"</formula>
    </cfRule>
    <cfRule type="cellIs" dxfId="135" priority="5" stopIfTrue="1" operator="equal">
      <formula>"Yes"</formula>
    </cfRule>
    <cfRule type="cellIs" dxfId="134" priority="6" stopIfTrue="1" operator="equal">
      <formula>"WVR"</formula>
    </cfRule>
    <cfRule type="cellIs" dxfId="133" priority="7" stopIfTrue="1" operator="equal">
      <formula>"T-WVR"</formula>
    </cfRule>
    <cfRule type="cellIs" dxfId="132" priority="8" stopIfTrue="1" operator="equal">
      <formula>"R"</formula>
    </cfRule>
    <cfRule type="cellIs" dxfId="131" priority="9" stopIfTrue="1" operator="equal">
      <formula>"Y"</formula>
    </cfRule>
    <cfRule type="cellIs" dxfId="130" priority="10" stopIfTrue="1" operator="equal">
      <formula>"G"</formula>
    </cfRule>
  </conditionalFormatting>
  <dataValidations count="4">
    <dataValidation type="list" allowBlank="1" showInputMessage="1" showErrorMessage="1" sqref="E13 E7:E10">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fitToPage="1"/>
  </sheetPr>
  <dimension ref="A1:V43"/>
  <sheetViews>
    <sheetView zoomScaleNormal="100" workbookViewId="0">
      <pane ySplit="4" topLeftCell="A5" activePane="bottomLeft" state="frozenSplit"/>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9" width="4.28515625" customWidth="1"/>
    <col min="10" max="10" width="3.85546875" customWidth="1"/>
    <col min="11" max="11" width="4.28515625" customWidth="1"/>
    <col min="12" max="20" width="3.85546875" customWidth="1"/>
    <col min="21" max="21" width="4.28515625" customWidth="1"/>
    <col min="22" max="22" width="3.85546875" customWidth="1"/>
  </cols>
  <sheetData>
    <row r="1" spans="1:22" ht="22.5" x14ac:dyDescent="0.2">
      <c r="A1" t="s">
        <v>304</v>
      </c>
      <c r="B1" s="302" t="s">
        <v>59</v>
      </c>
      <c r="C1" s="303">
        <v>2</v>
      </c>
      <c r="D1" s="470" t="s">
        <v>569</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24.75" customHeight="1" thickBot="1" x14ac:dyDescent="0.25">
      <c r="B2" s="482" t="s">
        <v>567</v>
      </c>
      <c r="C2" s="483"/>
      <c r="D2" s="483"/>
      <c r="E2" s="221"/>
      <c r="F2" s="235" t="s">
        <v>20</v>
      </c>
      <c r="G2" s="211"/>
      <c r="H2" s="104"/>
      <c r="I2" s="473" t="s">
        <v>480</v>
      </c>
      <c r="J2" s="473"/>
      <c r="K2" s="473" t="s">
        <v>481</v>
      </c>
      <c r="L2" s="473"/>
      <c r="M2" s="473" t="s">
        <v>388</v>
      </c>
      <c r="N2" s="473"/>
      <c r="O2" s="473" t="s">
        <v>389</v>
      </c>
      <c r="P2" s="473"/>
      <c r="Q2" s="473" t="s">
        <v>390</v>
      </c>
      <c r="R2" s="473"/>
      <c r="S2" s="473" t="s">
        <v>391</v>
      </c>
      <c r="T2" s="473"/>
      <c r="U2" s="473" t="s">
        <v>538</v>
      </c>
      <c r="V2" s="473"/>
    </row>
    <row r="3" spans="1:22" ht="13.5" thickBot="1" x14ac:dyDescent="0.25">
      <c r="B3" s="11"/>
      <c r="C3" s="6"/>
      <c r="D3" s="11"/>
      <c r="E3" s="212"/>
      <c r="F3" s="213"/>
      <c r="G3" s="214"/>
      <c r="H3" s="104"/>
      <c r="I3" s="73"/>
      <c r="J3" s="73"/>
      <c r="K3" s="73"/>
      <c r="L3" s="73"/>
      <c r="M3" s="73"/>
      <c r="N3" s="73"/>
      <c r="O3" s="73"/>
      <c r="P3" s="73"/>
      <c r="Q3" s="73"/>
      <c r="R3" s="73"/>
      <c r="S3" s="73"/>
      <c r="T3" s="73"/>
      <c r="U3" s="73"/>
      <c r="V3" s="73"/>
    </row>
    <row r="4" spans="1:22" ht="25.5" x14ac:dyDescent="0.2">
      <c r="B4" s="9" t="s">
        <v>31</v>
      </c>
      <c r="C4" s="10" t="s">
        <v>32</v>
      </c>
      <c r="D4" s="10" t="s">
        <v>23</v>
      </c>
      <c r="E4" s="215" t="s">
        <v>30</v>
      </c>
      <c r="F4" s="216" t="s">
        <v>24</v>
      </c>
      <c r="G4" s="209" t="s">
        <v>215</v>
      </c>
      <c r="H4" s="104"/>
      <c r="I4" s="72" t="s">
        <v>60</v>
      </c>
      <c r="J4" s="72" t="s">
        <v>60</v>
      </c>
      <c r="K4" s="72" t="s">
        <v>60</v>
      </c>
      <c r="L4" s="72" t="s">
        <v>60</v>
      </c>
      <c r="M4" s="72" t="s">
        <v>60</v>
      </c>
      <c r="N4" s="72" t="s">
        <v>60</v>
      </c>
      <c r="O4" s="72" t="s">
        <v>60</v>
      </c>
      <c r="P4" s="72" t="s">
        <v>60</v>
      </c>
      <c r="Q4" s="72" t="s">
        <v>60</v>
      </c>
      <c r="R4" s="72" t="s">
        <v>60</v>
      </c>
      <c r="S4" s="72" t="s">
        <v>60</v>
      </c>
      <c r="T4" s="72" t="s">
        <v>60</v>
      </c>
      <c r="U4" s="72" t="s">
        <v>60</v>
      </c>
      <c r="V4" s="72" t="s">
        <v>60</v>
      </c>
    </row>
    <row r="5" spans="1:22" x14ac:dyDescent="0.2">
      <c r="A5" t="s">
        <v>305</v>
      </c>
      <c r="B5" s="95" t="s">
        <v>59</v>
      </c>
      <c r="C5" s="321" t="s">
        <v>255</v>
      </c>
      <c r="D5" s="465" t="s">
        <v>570</v>
      </c>
      <c r="E5" s="466"/>
      <c r="F5" s="466"/>
      <c r="G5" s="467"/>
      <c r="H5" s="226" t="str">
        <f>HYPERLINK(CONCATENATE("http://garwiki.regn.net/mediawiki/index.php/",SUBSTITUTE(D5," ","_"),"_(golden_rule)"),"?")</f>
        <v>?</v>
      </c>
      <c r="I5" s="94" t="str">
        <f t="shared" ref="I5:V5" si="0">I6</f>
        <v>x</v>
      </c>
      <c r="J5" s="94" t="str">
        <f t="shared" si="0"/>
        <v>x</v>
      </c>
      <c r="K5" s="94" t="str">
        <f t="shared" si="0"/>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 t="shared" si="0"/>
        <v>x</v>
      </c>
      <c r="V5" s="94" t="str">
        <f t="shared" si="0"/>
        <v>x</v>
      </c>
    </row>
    <row r="6" spans="1:22" x14ac:dyDescent="0.2">
      <c r="B6" s="474" t="s">
        <v>598</v>
      </c>
      <c r="C6" s="475"/>
      <c r="D6" s="476"/>
      <c r="E6" s="105"/>
      <c r="F6" s="238" t="s">
        <v>20</v>
      </c>
      <c r="G6" s="112"/>
      <c r="H6" s="104"/>
      <c r="I6" s="72" t="str">
        <f>IF(COUNTIF(I7:I8,"x")=0,"","x")</f>
        <v>x</v>
      </c>
      <c r="J6" s="72" t="str">
        <f t="shared" ref="J6:V6" si="1">IF(COUNTIF(J7:J8,"x")=0,"","x")</f>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ht="25.5" x14ac:dyDescent="0.2">
      <c r="A7" t="s">
        <v>306</v>
      </c>
      <c r="B7" s="20" t="s">
        <v>33</v>
      </c>
      <c r="C7" s="323" t="s">
        <v>35</v>
      </c>
      <c r="D7" s="34" t="s">
        <v>599</v>
      </c>
      <c r="E7" s="105"/>
      <c r="F7" s="239"/>
      <c r="G7" s="107"/>
      <c r="H7" s="226" t="str">
        <f>HYPERLINK(CONCATENATE("http://garwiki.regn.net/mediawiki/index.php/Scorecard_Rule_",MID(A7,FIND(":",A7)+1,9)),"?")</f>
        <v>?</v>
      </c>
      <c r="I7" s="72" t="s">
        <v>60</v>
      </c>
      <c r="J7" s="72" t="s">
        <v>60</v>
      </c>
      <c r="K7" s="72"/>
      <c r="L7" s="72"/>
      <c r="M7" s="72" t="s">
        <v>60</v>
      </c>
      <c r="N7" s="72" t="s">
        <v>60</v>
      </c>
      <c r="O7" s="72" t="s">
        <v>60</v>
      </c>
      <c r="P7" s="72" t="s">
        <v>60</v>
      </c>
      <c r="Q7" s="72" t="s">
        <v>60</v>
      </c>
      <c r="R7" s="72" t="s">
        <v>60</v>
      </c>
      <c r="S7" s="72" t="s">
        <v>60</v>
      </c>
      <c r="T7" s="72" t="s">
        <v>60</v>
      </c>
      <c r="U7" s="72" t="s">
        <v>60</v>
      </c>
      <c r="V7" s="72" t="s">
        <v>60</v>
      </c>
    </row>
    <row r="8" spans="1:22" ht="25.5" x14ac:dyDescent="0.2">
      <c r="A8" s="160" t="s">
        <v>515</v>
      </c>
      <c r="B8" s="35" t="s">
        <v>33</v>
      </c>
      <c r="C8" s="38" t="s">
        <v>588</v>
      </c>
      <c r="D8" s="30" t="s">
        <v>514</v>
      </c>
      <c r="E8" s="106"/>
      <c r="F8" s="239"/>
      <c r="G8" s="107"/>
      <c r="H8" s="226" t="str">
        <f>HYPERLINK(CONCATENATE("http://garwiki.regn.net/mediawiki/index.php/Scorecard_Rule_",MID(A8,FIND(":",A8)+1,9)),"?")</f>
        <v>?</v>
      </c>
      <c r="I8" s="72" t="s">
        <v>60</v>
      </c>
      <c r="J8" s="73" t="s">
        <v>60</v>
      </c>
      <c r="K8" s="72" t="s">
        <v>60</v>
      </c>
      <c r="L8" s="73" t="s">
        <v>60</v>
      </c>
      <c r="M8" s="295" t="s">
        <v>60</v>
      </c>
      <c r="N8" s="295" t="s">
        <v>60</v>
      </c>
      <c r="O8" s="73" t="s">
        <v>60</v>
      </c>
      <c r="P8" s="73" t="s">
        <v>60</v>
      </c>
      <c r="Q8" s="73" t="s">
        <v>60</v>
      </c>
      <c r="R8" s="73" t="s">
        <v>60</v>
      </c>
      <c r="S8" s="73" t="s">
        <v>60</v>
      </c>
      <c r="T8" s="73" t="s">
        <v>60</v>
      </c>
      <c r="U8" s="72"/>
      <c r="V8" s="73"/>
    </row>
    <row r="9" spans="1:22" x14ac:dyDescent="0.2">
      <c r="A9" t="s">
        <v>307</v>
      </c>
      <c r="B9" s="95" t="s">
        <v>59</v>
      </c>
      <c r="C9" s="321" t="s">
        <v>257</v>
      </c>
      <c r="D9" s="486" t="s">
        <v>653</v>
      </c>
      <c r="E9" s="466"/>
      <c r="F9" s="466"/>
      <c r="G9" s="467"/>
      <c r="H9" s="226" t="str">
        <f>HYPERLINK(CONCATENATE("http://garwiki.regn.net/mediawiki/index.php/",SUBSTITUTE(D9," ","_"),"_(golden_rule)"),"?")</f>
        <v>?</v>
      </c>
      <c r="I9" s="94" t="str">
        <f t="shared" ref="I9:V9" si="2">I10</f>
        <v>x</v>
      </c>
      <c r="J9" s="94" t="str">
        <f t="shared" si="2"/>
        <v>x</v>
      </c>
      <c r="K9" s="94" t="str">
        <f t="shared" si="2"/>
        <v>x</v>
      </c>
      <c r="L9" s="94" t="str">
        <f t="shared" si="2"/>
        <v>x</v>
      </c>
      <c r="M9" s="94" t="str">
        <f t="shared" si="2"/>
        <v>x</v>
      </c>
      <c r="N9" s="94" t="str">
        <f t="shared" si="2"/>
        <v>x</v>
      </c>
      <c r="O9" s="94" t="str">
        <f t="shared" si="2"/>
        <v>x</v>
      </c>
      <c r="P9" s="94" t="str">
        <f t="shared" si="2"/>
        <v>x</v>
      </c>
      <c r="Q9" s="94" t="str">
        <f t="shared" si="2"/>
        <v>x</v>
      </c>
      <c r="R9" s="94" t="str">
        <f t="shared" si="2"/>
        <v>x</v>
      </c>
      <c r="S9" s="94" t="str">
        <f t="shared" si="2"/>
        <v>x</v>
      </c>
      <c r="T9" s="94" t="str">
        <f t="shared" si="2"/>
        <v>x</v>
      </c>
      <c r="U9" s="94" t="str">
        <f t="shared" si="2"/>
        <v>x</v>
      </c>
      <c r="V9" s="94" t="str">
        <f t="shared" si="2"/>
        <v>x</v>
      </c>
    </row>
    <row r="10" spans="1:22" ht="24.75" customHeight="1" x14ac:dyDescent="0.2">
      <c r="B10" s="474" t="s">
        <v>571</v>
      </c>
      <c r="C10" s="480"/>
      <c r="D10" s="481"/>
      <c r="E10" s="105"/>
      <c r="F10" s="238" t="s">
        <v>20</v>
      </c>
      <c r="G10" s="112"/>
      <c r="H10" s="226"/>
      <c r="I10" s="72" t="str">
        <f>IF(COUNTIF(I11:I13,"x")=0,"","x")</f>
        <v>x</v>
      </c>
      <c r="J10" s="72" t="str">
        <f t="shared" ref="J10:V10" si="3">IF(COUNTIF(J11:J13,"x")=0,"","x")</f>
        <v>x</v>
      </c>
      <c r="K10" s="72" t="str">
        <f t="shared" si="3"/>
        <v>x</v>
      </c>
      <c r="L10" s="72" t="str">
        <f t="shared" si="3"/>
        <v>x</v>
      </c>
      <c r="M10" s="72" t="str">
        <f t="shared" si="3"/>
        <v>x</v>
      </c>
      <c r="N10" s="72" t="str">
        <f t="shared" si="3"/>
        <v>x</v>
      </c>
      <c r="O10" s="72" t="str">
        <f t="shared" si="3"/>
        <v>x</v>
      </c>
      <c r="P10" s="72" t="str">
        <f t="shared" si="3"/>
        <v>x</v>
      </c>
      <c r="Q10" s="72" t="str">
        <f t="shared" si="3"/>
        <v>x</v>
      </c>
      <c r="R10" s="72" t="str">
        <f t="shared" si="3"/>
        <v>x</v>
      </c>
      <c r="S10" s="72" t="str">
        <f t="shared" si="3"/>
        <v>x</v>
      </c>
      <c r="T10" s="72" t="str">
        <f t="shared" si="3"/>
        <v>x</v>
      </c>
      <c r="U10" s="72" t="str">
        <f t="shared" si="3"/>
        <v>x</v>
      </c>
      <c r="V10" s="72" t="str">
        <f t="shared" si="3"/>
        <v>x</v>
      </c>
    </row>
    <row r="11" spans="1:22" ht="38.25" x14ac:dyDescent="0.2">
      <c r="A11" t="s">
        <v>308</v>
      </c>
      <c r="B11" s="20" t="s">
        <v>33</v>
      </c>
      <c r="C11" s="323" t="s">
        <v>70</v>
      </c>
      <c r="D11" s="34" t="s">
        <v>315</v>
      </c>
      <c r="E11" s="105"/>
      <c r="F11" s="239"/>
      <c r="G11" s="107"/>
      <c r="H11" s="226" t="str">
        <f>HYPERLINK(CONCATENATE("http://garwiki.regn.net/mediawiki/index.php/Scorecard_Rule_",MID(A11,FIND(":",A11)+1,9)),"?")</f>
        <v>?</v>
      </c>
      <c r="I11" s="72" t="s">
        <v>60</v>
      </c>
      <c r="J11" s="72" t="s">
        <v>60</v>
      </c>
      <c r="K11" s="72" t="s">
        <v>60</v>
      </c>
      <c r="L11" s="72" t="s">
        <v>60</v>
      </c>
      <c r="M11" s="72" t="s">
        <v>60</v>
      </c>
      <c r="N11" s="72" t="s">
        <v>60</v>
      </c>
      <c r="O11" s="72" t="s">
        <v>60</v>
      </c>
      <c r="P11" s="72" t="s">
        <v>60</v>
      </c>
      <c r="Q11" s="72" t="s">
        <v>60</v>
      </c>
      <c r="R11" s="72" t="s">
        <v>60</v>
      </c>
      <c r="S11" s="72" t="s">
        <v>60</v>
      </c>
      <c r="T11" s="72" t="s">
        <v>60</v>
      </c>
      <c r="U11" s="72" t="s">
        <v>60</v>
      </c>
      <c r="V11" s="72" t="s">
        <v>60</v>
      </c>
    </row>
    <row r="12" spans="1:22" ht="25.5" x14ac:dyDescent="0.2">
      <c r="A12" t="s">
        <v>309</v>
      </c>
      <c r="B12" s="20" t="s">
        <v>33</v>
      </c>
      <c r="C12" s="323" t="s">
        <v>614</v>
      </c>
      <c r="D12" s="34" t="s">
        <v>601</v>
      </c>
      <c r="E12" s="105"/>
      <c r="F12" s="239"/>
      <c r="G12" s="107"/>
      <c r="H12" s="226" t="str">
        <f>HYPERLINK(CONCATENATE("http://garwiki.regn.net/mediawiki/index.php/Scorecard_Rule_",MID(A12,FIND(":",A12)+1,9)),"?")</f>
        <v>?</v>
      </c>
      <c r="I12" s="72" t="s">
        <v>60</v>
      </c>
      <c r="J12" s="72" t="s">
        <v>60</v>
      </c>
      <c r="K12" s="72" t="s">
        <v>60</v>
      </c>
      <c r="L12" s="72" t="s">
        <v>60</v>
      </c>
      <c r="M12" s="72" t="s">
        <v>60</v>
      </c>
      <c r="N12" s="72" t="s">
        <v>60</v>
      </c>
      <c r="O12" s="72" t="s">
        <v>60</v>
      </c>
      <c r="P12" s="72" t="s">
        <v>60</v>
      </c>
      <c r="Q12" s="72" t="s">
        <v>60</v>
      </c>
      <c r="R12" s="72" t="s">
        <v>60</v>
      </c>
      <c r="S12" s="72" t="s">
        <v>60</v>
      </c>
      <c r="T12" s="72" t="s">
        <v>60</v>
      </c>
      <c r="U12" s="72" t="s">
        <v>60</v>
      </c>
      <c r="V12" s="72" t="s">
        <v>60</v>
      </c>
    </row>
    <row r="13" spans="1:22" x14ac:dyDescent="0.2">
      <c r="A13" t="s">
        <v>310</v>
      </c>
      <c r="B13" s="20" t="s">
        <v>33</v>
      </c>
      <c r="C13" s="323" t="s">
        <v>615</v>
      </c>
      <c r="D13" s="34" t="s">
        <v>316</v>
      </c>
      <c r="E13" s="105"/>
      <c r="F13" s="239"/>
      <c r="G13" s="107"/>
      <c r="H13" s="226" t="str">
        <f>HYPERLINK(CONCATENATE("http://garwiki.regn.net/mediawiki/index.php/Scorecard_Rule_",MID(A13,FIND(":",A13)+1,9)),"?")</f>
        <v>?</v>
      </c>
      <c r="I13" s="72" t="s">
        <v>60</v>
      </c>
      <c r="J13" s="73" t="s">
        <v>60</v>
      </c>
      <c r="K13" s="72" t="s">
        <v>60</v>
      </c>
      <c r="L13" s="73" t="s">
        <v>60</v>
      </c>
      <c r="M13" s="72" t="s">
        <v>60</v>
      </c>
      <c r="N13" s="72" t="s">
        <v>60</v>
      </c>
      <c r="O13" s="72" t="s">
        <v>60</v>
      </c>
      <c r="P13" s="72" t="s">
        <v>60</v>
      </c>
      <c r="Q13" s="72" t="s">
        <v>60</v>
      </c>
      <c r="R13" s="72" t="s">
        <v>60</v>
      </c>
      <c r="S13" s="72" t="s">
        <v>60</v>
      </c>
      <c r="T13" s="72" t="s">
        <v>60</v>
      </c>
      <c r="U13" s="72" t="s">
        <v>60</v>
      </c>
      <c r="V13" s="73" t="s">
        <v>60</v>
      </c>
    </row>
    <row r="14" spans="1:22" x14ac:dyDescent="0.2">
      <c r="A14" t="s">
        <v>311</v>
      </c>
      <c r="B14" s="95" t="s">
        <v>59</v>
      </c>
      <c r="C14" s="321" t="s">
        <v>259</v>
      </c>
      <c r="D14" s="465" t="s">
        <v>573</v>
      </c>
      <c r="E14" s="466"/>
      <c r="F14" s="466"/>
      <c r="G14" s="467"/>
      <c r="H14" s="226" t="str">
        <f>HYPERLINK(CONCATENATE("http://garwiki.regn.net/mediawiki/index.php/",SUBSTITUTE(D14," ","_"),"_(golden_rule)"),"?")</f>
        <v>?</v>
      </c>
      <c r="I14" s="94" t="str">
        <f t="shared" ref="I14:V14" si="4">I15</f>
        <v>x</v>
      </c>
      <c r="J14" s="94" t="str">
        <f t="shared" si="4"/>
        <v>x</v>
      </c>
      <c r="K14" s="94" t="str">
        <f t="shared" si="4"/>
        <v>x</v>
      </c>
      <c r="L14" s="94" t="str">
        <f t="shared" si="4"/>
        <v>x</v>
      </c>
      <c r="M14" s="94" t="str">
        <f t="shared" si="4"/>
        <v>x</v>
      </c>
      <c r="N14" s="94" t="str">
        <f t="shared" si="4"/>
        <v>x</v>
      </c>
      <c r="O14" s="94" t="str">
        <f t="shared" si="4"/>
        <v>x</v>
      </c>
      <c r="P14" s="94" t="str">
        <f t="shared" si="4"/>
        <v>x</v>
      </c>
      <c r="Q14" s="94" t="str">
        <f t="shared" si="4"/>
        <v>x</v>
      </c>
      <c r="R14" s="94" t="str">
        <f t="shared" si="4"/>
        <v>x</v>
      </c>
      <c r="S14" s="94" t="str">
        <f t="shared" si="4"/>
        <v>x</v>
      </c>
      <c r="T14" s="94" t="str">
        <f t="shared" si="4"/>
        <v>x</v>
      </c>
      <c r="U14" s="94" t="str">
        <f t="shared" si="4"/>
        <v>x</v>
      </c>
      <c r="V14" s="94" t="str">
        <f t="shared" si="4"/>
        <v>x</v>
      </c>
    </row>
    <row r="15" spans="1:22" x14ac:dyDescent="0.2">
      <c r="B15" s="474" t="s">
        <v>572</v>
      </c>
      <c r="C15" s="484"/>
      <c r="D15" s="485"/>
      <c r="E15" s="105"/>
      <c r="F15" s="238" t="s">
        <v>20</v>
      </c>
      <c r="G15" s="112"/>
      <c r="H15" s="226"/>
      <c r="I15" s="72" t="str">
        <f>IF(COUNTIF(I16:I18,"x")=0,"","x")</f>
        <v>x</v>
      </c>
      <c r="J15" s="72" t="str">
        <f t="shared" ref="J15:V15" si="5">IF(COUNTIF(J16:J18,"x")=0,"","x")</f>
        <v>x</v>
      </c>
      <c r="K15" s="72" t="str">
        <f t="shared" si="5"/>
        <v>x</v>
      </c>
      <c r="L15" s="72" t="str">
        <f t="shared" si="5"/>
        <v>x</v>
      </c>
      <c r="M15" s="72" t="str">
        <f t="shared" si="5"/>
        <v>x</v>
      </c>
      <c r="N15" s="72" t="str">
        <f t="shared" si="5"/>
        <v>x</v>
      </c>
      <c r="O15" s="72" t="str">
        <f t="shared" si="5"/>
        <v>x</v>
      </c>
      <c r="P15" s="72" t="str">
        <f t="shared" si="5"/>
        <v>x</v>
      </c>
      <c r="Q15" s="72" t="str">
        <f t="shared" si="5"/>
        <v>x</v>
      </c>
      <c r="R15" s="72" t="str">
        <f t="shared" si="5"/>
        <v>x</v>
      </c>
      <c r="S15" s="72" t="str">
        <f t="shared" si="5"/>
        <v>x</v>
      </c>
      <c r="T15" s="72" t="str">
        <f t="shared" si="5"/>
        <v>x</v>
      </c>
      <c r="U15" s="72" t="str">
        <f t="shared" si="5"/>
        <v>x</v>
      </c>
      <c r="V15" s="72" t="str">
        <f t="shared" si="5"/>
        <v>x</v>
      </c>
    </row>
    <row r="16" spans="1:22" ht="25.5" x14ac:dyDescent="0.2">
      <c r="A16" t="s">
        <v>312</v>
      </c>
      <c r="B16" s="20" t="s">
        <v>33</v>
      </c>
      <c r="C16" s="323" t="s">
        <v>71</v>
      </c>
      <c r="D16" s="5" t="s">
        <v>574</v>
      </c>
      <c r="E16" s="105"/>
      <c r="F16" s="239"/>
      <c r="G16" s="107"/>
      <c r="H16" s="226" t="str">
        <f>HYPERLINK(CONCATENATE("http://garwiki.regn.net/mediawiki/index.php/Scorecard_Rule_",MID(A16,FIND(":",A16)+1,9)),"?")</f>
        <v>?</v>
      </c>
      <c r="I16" s="72" t="s">
        <v>60</v>
      </c>
      <c r="J16" s="73" t="s">
        <v>60</v>
      </c>
      <c r="K16" s="72"/>
      <c r="L16" s="73"/>
      <c r="M16" s="72"/>
      <c r="N16" s="72"/>
      <c r="O16" s="72" t="s">
        <v>60</v>
      </c>
      <c r="P16" s="72" t="s">
        <v>60</v>
      </c>
      <c r="Q16" s="72"/>
      <c r="R16" s="72"/>
      <c r="S16" s="72"/>
      <c r="T16" s="72"/>
      <c r="U16" s="72" t="s">
        <v>60</v>
      </c>
      <c r="V16" s="73" t="s">
        <v>60</v>
      </c>
    </row>
    <row r="17" spans="1:22" ht="25.5" x14ac:dyDescent="0.2">
      <c r="A17" t="s">
        <v>582</v>
      </c>
      <c r="B17" s="20" t="s">
        <v>33</v>
      </c>
      <c r="C17" s="323" t="s">
        <v>616</v>
      </c>
      <c r="D17" s="5" t="s">
        <v>554</v>
      </c>
      <c r="E17" s="105"/>
      <c r="F17" s="239"/>
      <c r="G17" s="107"/>
      <c r="H17" s="226" t="str">
        <f>HYPERLINK(CONCATENATE("http://garwiki.regn.net/mediawiki/index.php/Scorecard_Rule_",MID(A17,FIND(":",A17)+1,9)),"?")</f>
        <v>?</v>
      </c>
      <c r="I17" s="271" t="s">
        <v>60</v>
      </c>
      <c r="J17" s="271" t="s">
        <v>60</v>
      </c>
      <c r="K17" s="271"/>
      <c r="L17" s="271"/>
      <c r="M17" s="271" t="s">
        <v>60</v>
      </c>
      <c r="N17" s="271" t="s">
        <v>60</v>
      </c>
      <c r="O17" s="271" t="s">
        <v>60</v>
      </c>
      <c r="P17" s="271" t="s">
        <v>60</v>
      </c>
      <c r="Q17" s="271" t="s">
        <v>60</v>
      </c>
      <c r="R17" s="271" t="s">
        <v>60</v>
      </c>
      <c r="S17" s="271" t="s">
        <v>60</v>
      </c>
      <c r="T17" s="271" t="s">
        <v>60</v>
      </c>
      <c r="U17" s="271" t="s">
        <v>60</v>
      </c>
      <c r="V17" s="271" t="s">
        <v>60</v>
      </c>
    </row>
    <row r="18" spans="1:22" ht="51" x14ac:dyDescent="0.2">
      <c r="A18" t="s">
        <v>344</v>
      </c>
      <c r="B18" s="31" t="s">
        <v>33</v>
      </c>
      <c r="C18" s="38" t="s">
        <v>617</v>
      </c>
      <c r="D18" s="30" t="s">
        <v>576</v>
      </c>
      <c r="E18" s="106"/>
      <c r="F18" s="239"/>
      <c r="G18" s="115"/>
      <c r="H18" s="226" t="str">
        <f>HYPERLINK(CONCATENATE("http://garwiki.regn.net/mediawiki/index.php/Scorecard_Rule_",MID(A18,FIND(":",A18)+1,9)),"?")</f>
        <v>?</v>
      </c>
      <c r="I18" s="72" t="s">
        <v>60</v>
      </c>
      <c r="J18" s="73" t="s">
        <v>60</v>
      </c>
      <c r="K18" s="72" t="s">
        <v>60</v>
      </c>
      <c r="L18" s="73" t="s">
        <v>60</v>
      </c>
      <c r="M18" s="295" t="s">
        <v>60</v>
      </c>
      <c r="N18" s="295" t="s">
        <v>60</v>
      </c>
      <c r="O18" s="73" t="s">
        <v>60</v>
      </c>
      <c r="P18" s="73" t="s">
        <v>60</v>
      </c>
      <c r="Q18" s="73" t="s">
        <v>60</v>
      </c>
      <c r="R18" s="73" t="s">
        <v>60</v>
      </c>
      <c r="S18" s="73" t="s">
        <v>60</v>
      </c>
      <c r="T18" s="73" t="s">
        <v>60</v>
      </c>
      <c r="U18" s="72" t="s">
        <v>60</v>
      </c>
      <c r="V18" s="73" t="s">
        <v>60</v>
      </c>
    </row>
    <row r="19" spans="1:22" x14ac:dyDescent="0.2">
      <c r="A19" s="160" t="s">
        <v>706</v>
      </c>
      <c r="B19" s="95" t="s">
        <v>59</v>
      </c>
      <c r="C19" s="321" t="s">
        <v>618</v>
      </c>
      <c r="D19" s="465" t="s">
        <v>654</v>
      </c>
      <c r="E19" s="466"/>
      <c r="F19" s="466"/>
      <c r="G19" s="467"/>
      <c r="H19" s="226" t="str">
        <f>HYPERLINK(CONCATENATE("http://garwiki.regn.net/mediawiki/index.php/",SUBSTITUTE(D19," ","_"),"_(golden_rule)"),"?")</f>
        <v>?</v>
      </c>
      <c r="I19" s="94" t="str">
        <f>I20</f>
        <v>x</v>
      </c>
      <c r="J19" s="94" t="str">
        <f t="shared" ref="J19:V19" si="6">J20</f>
        <v>x</v>
      </c>
      <c r="K19" s="94" t="str">
        <f>K20</f>
        <v>x</v>
      </c>
      <c r="L19" s="94" t="str">
        <f t="shared" si="6"/>
        <v>x</v>
      </c>
      <c r="M19" s="94" t="str">
        <f t="shared" si="6"/>
        <v>x</v>
      </c>
      <c r="N19" s="94" t="str">
        <f t="shared" si="6"/>
        <v>x</v>
      </c>
      <c r="O19" s="94" t="str">
        <f t="shared" si="6"/>
        <v>x</v>
      </c>
      <c r="P19" s="94" t="str">
        <f t="shared" si="6"/>
        <v>x</v>
      </c>
      <c r="Q19" s="94" t="str">
        <f t="shared" si="6"/>
        <v>x</v>
      </c>
      <c r="R19" s="94" t="str">
        <f t="shared" si="6"/>
        <v>x</v>
      </c>
      <c r="S19" s="94" t="str">
        <f t="shared" si="6"/>
        <v>x</v>
      </c>
      <c r="T19" s="94" t="str">
        <f t="shared" si="6"/>
        <v>x</v>
      </c>
      <c r="U19" s="94" t="str">
        <f>U20</f>
        <v>x</v>
      </c>
      <c r="V19" s="94" t="str">
        <f t="shared" si="6"/>
        <v>x</v>
      </c>
    </row>
    <row r="20" spans="1:22" ht="27" customHeight="1" x14ac:dyDescent="0.2">
      <c r="B20" s="474" t="s">
        <v>602</v>
      </c>
      <c r="C20" s="480"/>
      <c r="D20" s="481"/>
      <c r="E20" s="105"/>
      <c r="F20" s="238" t="s">
        <v>20</v>
      </c>
      <c r="G20" s="112"/>
      <c r="H20" s="226"/>
      <c r="I20" s="72" t="str">
        <f>IF(COUNTIF(I21:I24,"x")=0,"","x")</f>
        <v>x</v>
      </c>
      <c r="J20" s="72" t="str">
        <f t="shared" ref="J20:V20" si="7">IF(COUNTIF(J21:J24,"x")=0,"","x")</f>
        <v>x</v>
      </c>
      <c r="K20" s="72" t="str">
        <f t="shared" si="7"/>
        <v>x</v>
      </c>
      <c r="L20" s="72" t="str">
        <f t="shared" si="7"/>
        <v>x</v>
      </c>
      <c r="M20" s="72" t="str">
        <f t="shared" si="7"/>
        <v>x</v>
      </c>
      <c r="N20" s="72" t="str">
        <f t="shared" si="7"/>
        <v>x</v>
      </c>
      <c r="O20" s="72" t="str">
        <f t="shared" si="7"/>
        <v>x</v>
      </c>
      <c r="P20" s="72" t="str">
        <f t="shared" si="7"/>
        <v>x</v>
      </c>
      <c r="Q20" s="72" t="str">
        <f t="shared" si="7"/>
        <v>x</v>
      </c>
      <c r="R20" s="72" t="str">
        <f t="shared" si="7"/>
        <v>x</v>
      </c>
      <c r="S20" s="72" t="str">
        <f t="shared" si="7"/>
        <v>x</v>
      </c>
      <c r="T20" s="72" t="str">
        <f t="shared" si="7"/>
        <v>x</v>
      </c>
      <c r="U20" s="72" t="str">
        <f t="shared" si="7"/>
        <v>x</v>
      </c>
      <c r="V20" s="72" t="str">
        <f t="shared" si="7"/>
        <v>x</v>
      </c>
    </row>
    <row r="21" spans="1:22" ht="25.5" x14ac:dyDescent="0.2">
      <c r="A21" s="160" t="s">
        <v>707</v>
      </c>
      <c r="B21" s="53" t="s">
        <v>33</v>
      </c>
      <c r="C21" s="323" t="s">
        <v>465</v>
      </c>
      <c r="D21" s="34" t="s">
        <v>603</v>
      </c>
      <c r="E21" s="105"/>
      <c r="F21" s="239"/>
      <c r="G21" s="107"/>
      <c r="H21" s="226" t="str">
        <f>HYPERLINK(CONCATENATE("http://garwiki.regn.net/mediawiki/index.php/Scorecard_Rule_",MID(A21,FIND(":",A21)+1,9)),"?")</f>
        <v>?</v>
      </c>
      <c r="I21" s="72" t="s">
        <v>60</v>
      </c>
      <c r="J21" s="72" t="s">
        <v>60</v>
      </c>
      <c r="K21" s="72"/>
      <c r="L21" s="72"/>
      <c r="M21" s="72" t="s">
        <v>60</v>
      </c>
      <c r="N21" s="72" t="s">
        <v>60</v>
      </c>
      <c r="O21" s="72" t="s">
        <v>60</v>
      </c>
      <c r="P21" s="72" t="s">
        <v>60</v>
      </c>
      <c r="Q21" s="72" t="s">
        <v>60</v>
      </c>
      <c r="R21" s="72" t="s">
        <v>60</v>
      </c>
      <c r="S21" s="72" t="s">
        <v>60</v>
      </c>
      <c r="T21" s="72" t="s">
        <v>60</v>
      </c>
      <c r="U21" s="72" t="s">
        <v>60</v>
      </c>
      <c r="V21" s="72" t="s">
        <v>60</v>
      </c>
    </row>
    <row r="22" spans="1:22" ht="25.5" x14ac:dyDescent="0.2">
      <c r="A22" s="160" t="s">
        <v>708</v>
      </c>
      <c r="B22" s="20" t="s">
        <v>33</v>
      </c>
      <c r="C22" s="323" t="s">
        <v>619</v>
      </c>
      <c r="D22" s="287" t="s">
        <v>604</v>
      </c>
      <c r="E22" s="105"/>
      <c r="F22" s="239"/>
      <c r="G22" s="107"/>
      <c r="H22" s="226" t="str">
        <f>HYPERLINK(CONCATENATE("http://garwiki.regn.net/mediawiki/index.php/Scorecard_Rule_",MID(A22,FIND(":",A22)+1,9)),"?")</f>
        <v>?</v>
      </c>
      <c r="I22" s="72" t="s">
        <v>60</v>
      </c>
      <c r="J22" s="72" t="s">
        <v>60</v>
      </c>
      <c r="K22" s="72" t="s">
        <v>60</v>
      </c>
      <c r="L22" s="72" t="s">
        <v>60</v>
      </c>
      <c r="M22" s="72" t="s">
        <v>60</v>
      </c>
      <c r="N22" s="72" t="s">
        <v>60</v>
      </c>
      <c r="O22" s="72" t="s">
        <v>60</v>
      </c>
      <c r="P22" s="72" t="s">
        <v>60</v>
      </c>
      <c r="Q22" s="72" t="s">
        <v>60</v>
      </c>
      <c r="R22" s="72" t="s">
        <v>60</v>
      </c>
      <c r="S22" s="72" t="s">
        <v>60</v>
      </c>
      <c r="T22" s="72" t="s">
        <v>60</v>
      </c>
      <c r="U22" s="72" t="s">
        <v>60</v>
      </c>
      <c r="V22" s="72" t="s">
        <v>60</v>
      </c>
    </row>
    <row r="23" spans="1:22" ht="25.5" x14ac:dyDescent="0.2">
      <c r="A23" s="160" t="s">
        <v>709</v>
      </c>
      <c r="B23" s="53" t="s">
        <v>33</v>
      </c>
      <c r="C23" s="323" t="s">
        <v>620</v>
      </c>
      <c r="D23" s="34" t="s">
        <v>605</v>
      </c>
      <c r="E23" s="105"/>
      <c r="F23" s="239"/>
      <c r="G23" s="107"/>
      <c r="H23" s="226" t="str">
        <f>HYPERLINK(CONCATENATE("http://garwiki.regn.net/mediawiki/index.php/Scorecard_Rule_",MID(A23,FIND(":",A23)+1,9)),"?")</f>
        <v>?</v>
      </c>
      <c r="I23" s="72" t="s">
        <v>60</v>
      </c>
      <c r="J23" s="72" t="s">
        <v>60</v>
      </c>
      <c r="K23" s="72"/>
      <c r="L23" s="72"/>
      <c r="M23" s="72" t="s">
        <v>60</v>
      </c>
      <c r="N23" s="72" t="s">
        <v>60</v>
      </c>
      <c r="O23" s="72" t="s">
        <v>60</v>
      </c>
      <c r="P23" s="72" t="s">
        <v>60</v>
      </c>
      <c r="Q23" s="72" t="s">
        <v>60</v>
      </c>
      <c r="R23" s="72" t="s">
        <v>60</v>
      </c>
      <c r="S23" s="72" t="s">
        <v>60</v>
      </c>
      <c r="T23" s="72" t="s">
        <v>60</v>
      </c>
      <c r="U23" s="72" t="s">
        <v>60</v>
      </c>
      <c r="V23" s="72" t="s">
        <v>60</v>
      </c>
    </row>
    <row r="24" spans="1:22" ht="38.25" x14ac:dyDescent="0.2">
      <c r="A24" s="160" t="s">
        <v>710</v>
      </c>
      <c r="B24" s="20" t="s">
        <v>33</v>
      </c>
      <c r="C24" s="323" t="s">
        <v>621</v>
      </c>
      <c r="D24" s="287" t="s">
        <v>606</v>
      </c>
      <c r="E24" s="105"/>
      <c r="F24" s="239"/>
      <c r="G24" s="107"/>
      <c r="H24" s="226" t="str">
        <f>HYPERLINK(CONCATENATE("http://garwiki.regn.net/mediawiki/index.php/Scorecard_Rule_",MID(A24,FIND(":",A24)+1,9)),"?")</f>
        <v>?</v>
      </c>
      <c r="I24" s="72" t="s">
        <v>60</v>
      </c>
      <c r="J24" s="72" t="s">
        <v>60</v>
      </c>
      <c r="K24" s="72" t="s">
        <v>60</v>
      </c>
      <c r="L24" s="72" t="s">
        <v>60</v>
      </c>
      <c r="M24" s="72" t="s">
        <v>60</v>
      </c>
      <c r="N24" s="72" t="s">
        <v>60</v>
      </c>
      <c r="O24" s="72" t="s">
        <v>60</v>
      </c>
      <c r="P24" s="72" t="s">
        <v>60</v>
      </c>
      <c r="Q24" s="72" t="s">
        <v>60</v>
      </c>
      <c r="R24" s="72" t="s">
        <v>60</v>
      </c>
      <c r="S24" s="72" t="s">
        <v>60</v>
      </c>
      <c r="T24" s="72" t="s">
        <v>60</v>
      </c>
      <c r="U24" s="72" t="s">
        <v>60</v>
      </c>
      <c r="V24" s="72" t="s">
        <v>60</v>
      </c>
    </row>
    <row r="25" spans="1:22" x14ac:dyDescent="0.2">
      <c r="A25" t="s">
        <v>313</v>
      </c>
      <c r="B25" s="95" t="s">
        <v>59</v>
      </c>
      <c r="C25" s="321" t="s">
        <v>261</v>
      </c>
      <c r="D25" s="465" t="s">
        <v>711</v>
      </c>
      <c r="E25" s="466"/>
      <c r="F25" s="466"/>
      <c r="G25" s="467"/>
      <c r="H25" s="226" t="str">
        <f>HYPERLINK(CONCATENATE("http://garwiki.regn.net/mediawiki/index.php/",SUBSTITUTE(D25," ","_"),"_(golden_rule)"),"?")</f>
        <v>?</v>
      </c>
      <c r="I25" s="94" t="str">
        <f>I26</f>
        <v>x</v>
      </c>
      <c r="J25" s="94" t="str">
        <f t="shared" ref="J25:V25" si="8">J26</f>
        <v>x</v>
      </c>
      <c r="K25" s="94" t="str">
        <f>K26</f>
        <v>x</v>
      </c>
      <c r="L25" s="94" t="str">
        <f t="shared" si="8"/>
        <v>x</v>
      </c>
      <c r="M25" s="94" t="str">
        <f t="shared" si="8"/>
        <v>x</v>
      </c>
      <c r="N25" s="94" t="str">
        <f t="shared" si="8"/>
        <v>x</v>
      </c>
      <c r="O25" s="94" t="str">
        <f t="shared" si="8"/>
        <v>x</v>
      </c>
      <c r="P25" s="94" t="str">
        <f t="shared" si="8"/>
        <v>x</v>
      </c>
      <c r="Q25" s="94" t="str">
        <f t="shared" si="8"/>
        <v>x</v>
      </c>
      <c r="R25" s="94" t="str">
        <f t="shared" si="8"/>
        <v>x</v>
      </c>
      <c r="S25" s="94" t="str">
        <f t="shared" si="8"/>
        <v>x</v>
      </c>
      <c r="T25" s="94" t="str">
        <f t="shared" si="8"/>
        <v>x</v>
      </c>
      <c r="U25" s="94" t="str">
        <f>U26</f>
        <v>x</v>
      </c>
      <c r="V25" s="94" t="str">
        <f t="shared" si="8"/>
        <v>x</v>
      </c>
    </row>
    <row r="26" spans="1:22" ht="27" customHeight="1" x14ac:dyDescent="0.2">
      <c r="B26" s="474" t="s">
        <v>317</v>
      </c>
      <c r="C26" s="480"/>
      <c r="D26" s="481"/>
      <c r="E26" s="105"/>
      <c r="F26" s="238" t="s">
        <v>20</v>
      </c>
      <c r="G26" s="112"/>
      <c r="H26" s="226"/>
      <c r="I26" s="72" t="str">
        <f>IF(COUNTIF(I27:I28,"x")=0,"","x")</f>
        <v>x</v>
      </c>
      <c r="J26" s="72" t="str">
        <f t="shared" ref="J26:V26" si="9">IF(COUNTIF(J27:J28,"x")=0,"","x")</f>
        <v>x</v>
      </c>
      <c r="K26" s="72" t="str">
        <f t="shared" si="9"/>
        <v>x</v>
      </c>
      <c r="L26" s="72" t="str">
        <f t="shared" si="9"/>
        <v>x</v>
      </c>
      <c r="M26" s="72" t="str">
        <f t="shared" si="9"/>
        <v>x</v>
      </c>
      <c r="N26" s="72" t="str">
        <f t="shared" si="9"/>
        <v>x</v>
      </c>
      <c r="O26" s="72" t="str">
        <f t="shared" si="9"/>
        <v>x</v>
      </c>
      <c r="P26" s="72" t="str">
        <f t="shared" si="9"/>
        <v>x</v>
      </c>
      <c r="Q26" s="72" t="str">
        <f t="shared" si="9"/>
        <v>x</v>
      </c>
      <c r="R26" s="72" t="str">
        <f t="shared" si="9"/>
        <v>x</v>
      </c>
      <c r="S26" s="72" t="str">
        <f t="shared" si="9"/>
        <v>x</v>
      </c>
      <c r="T26" s="72" t="str">
        <f t="shared" si="9"/>
        <v>x</v>
      </c>
      <c r="U26" s="72" t="str">
        <f t="shared" si="9"/>
        <v>x</v>
      </c>
      <c r="V26" s="72" t="str">
        <f t="shared" si="9"/>
        <v>x</v>
      </c>
    </row>
    <row r="27" spans="1:22" ht="38.25" x14ac:dyDescent="0.2">
      <c r="A27" s="160" t="s">
        <v>541</v>
      </c>
      <c r="B27" s="53" t="s">
        <v>33</v>
      </c>
      <c r="C27" s="323" t="s">
        <v>466</v>
      </c>
      <c r="D27" s="34" t="s">
        <v>600</v>
      </c>
      <c r="E27" s="105"/>
      <c r="F27" s="239"/>
      <c r="G27" s="107"/>
      <c r="H27" s="226" t="str">
        <f>HYPERLINK(CONCATENATE("http://garwiki.regn.net/mediawiki/index.php/Scorecard_Rule_",MID(A27,FIND(":",A27)+1,9)),"?")</f>
        <v>?</v>
      </c>
      <c r="I27" s="72" t="s">
        <v>60</v>
      </c>
      <c r="J27" s="72" t="s">
        <v>60</v>
      </c>
      <c r="K27" s="72"/>
      <c r="L27" s="72"/>
      <c r="M27" s="72" t="s">
        <v>60</v>
      </c>
      <c r="N27" s="72" t="s">
        <v>60</v>
      </c>
      <c r="O27" s="72" t="s">
        <v>60</v>
      </c>
      <c r="P27" s="72" t="s">
        <v>60</v>
      </c>
      <c r="Q27" s="72" t="s">
        <v>60</v>
      </c>
      <c r="R27" s="72" t="s">
        <v>60</v>
      </c>
      <c r="S27" s="72" t="s">
        <v>60</v>
      </c>
      <c r="T27" s="72" t="s">
        <v>60</v>
      </c>
      <c r="U27" s="72" t="s">
        <v>60</v>
      </c>
      <c r="V27" s="72" t="s">
        <v>60</v>
      </c>
    </row>
    <row r="28" spans="1:22" x14ac:dyDescent="0.2">
      <c r="A28" t="s">
        <v>314</v>
      </c>
      <c r="B28" s="20" t="s">
        <v>33</v>
      </c>
      <c r="C28" s="323" t="s">
        <v>622</v>
      </c>
      <c r="D28" s="287" t="s">
        <v>607</v>
      </c>
      <c r="E28" s="105"/>
      <c r="F28" s="239"/>
      <c r="G28" s="107"/>
      <c r="H28" s="226" t="str">
        <f>HYPERLINK(CONCATENATE("http://garwiki.regn.net/mediawiki/index.php/Scorecard_Rule_",MID(A28,FIND(":",A28)+1,9)),"?")</f>
        <v>?</v>
      </c>
      <c r="I28" s="72" t="s">
        <v>60</v>
      </c>
      <c r="J28" s="72" t="s">
        <v>60</v>
      </c>
      <c r="K28" s="72" t="s">
        <v>60</v>
      </c>
      <c r="L28" s="72" t="s">
        <v>60</v>
      </c>
      <c r="M28" s="72" t="s">
        <v>60</v>
      </c>
      <c r="N28" s="72" t="s">
        <v>60</v>
      </c>
      <c r="O28" s="72" t="s">
        <v>60</v>
      </c>
      <c r="P28" s="72" t="s">
        <v>60</v>
      </c>
      <c r="Q28" s="72" t="s">
        <v>60</v>
      </c>
      <c r="R28" s="72" t="s">
        <v>60</v>
      </c>
      <c r="S28" s="72" t="s">
        <v>60</v>
      </c>
      <c r="T28" s="72" t="s">
        <v>60</v>
      </c>
      <c r="U28" s="72" t="s">
        <v>60</v>
      </c>
      <c r="V28" s="72" t="s">
        <v>60</v>
      </c>
    </row>
    <row r="29" spans="1:22" x14ac:dyDescent="0.2">
      <c r="A29" t="s">
        <v>335</v>
      </c>
      <c r="B29" s="102" t="s">
        <v>59</v>
      </c>
      <c r="C29" s="321" t="s">
        <v>263</v>
      </c>
      <c r="D29" s="465" t="s">
        <v>684</v>
      </c>
      <c r="E29" s="466"/>
      <c r="F29" s="466"/>
      <c r="G29" s="467"/>
      <c r="H29" s="226" t="str">
        <f>HYPERLINK(CONCATENATE("http://garwiki.regn.net/mediawiki/index.php/",SUBSTITUTE(D29," ","_"),"_(golden_rule)"),"?")</f>
        <v>?</v>
      </c>
      <c r="I29" s="94" t="str">
        <f>I30</f>
        <v>x</v>
      </c>
      <c r="J29" s="94" t="str">
        <f t="shared" ref="J29:V29" si="10">J30</f>
        <v>x</v>
      </c>
      <c r="K29" s="94" t="str">
        <f>K30</f>
        <v>x</v>
      </c>
      <c r="L29" s="94" t="str">
        <f t="shared" si="10"/>
        <v>x</v>
      </c>
      <c r="M29" s="94" t="str">
        <f t="shared" si="10"/>
        <v>x</v>
      </c>
      <c r="N29" s="94" t="str">
        <f t="shared" si="10"/>
        <v>x</v>
      </c>
      <c r="O29" s="94" t="str">
        <f t="shared" si="10"/>
        <v>x</v>
      </c>
      <c r="P29" s="94" t="str">
        <f t="shared" si="10"/>
        <v>x</v>
      </c>
      <c r="Q29" s="94" t="str">
        <f t="shared" si="10"/>
        <v>x</v>
      </c>
      <c r="R29" s="94" t="str">
        <f t="shared" si="10"/>
        <v>x</v>
      </c>
      <c r="S29" s="94" t="str">
        <f t="shared" si="10"/>
        <v>x</v>
      </c>
      <c r="T29" s="94" t="str">
        <f t="shared" si="10"/>
        <v>x</v>
      </c>
      <c r="U29" s="94" t="str">
        <f>U30</f>
        <v>x</v>
      </c>
      <c r="V29" s="94" t="str">
        <f t="shared" si="10"/>
        <v>x</v>
      </c>
    </row>
    <row r="30" spans="1:22" x14ac:dyDescent="0.2">
      <c r="B30" s="474" t="s">
        <v>575</v>
      </c>
      <c r="C30" s="475"/>
      <c r="D30" s="476"/>
      <c r="E30" s="106"/>
      <c r="F30" s="238" t="s">
        <v>20</v>
      </c>
      <c r="G30" s="112"/>
      <c r="H30" s="104"/>
      <c r="I30" s="72" t="str">
        <f t="shared" ref="I30:V30" si="11">IF(COUNTIF(I31:I34,"x")=0,"","x")</f>
        <v>x</v>
      </c>
      <c r="J30" s="72" t="str">
        <f t="shared" si="11"/>
        <v>x</v>
      </c>
      <c r="K30" s="72" t="str">
        <f t="shared" si="11"/>
        <v>x</v>
      </c>
      <c r="L30" s="72" t="str">
        <f t="shared" si="11"/>
        <v>x</v>
      </c>
      <c r="M30" s="72" t="str">
        <f t="shared" si="11"/>
        <v>x</v>
      </c>
      <c r="N30" s="72" t="str">
        <f t="shared" si="11"/>
        <v>x</v>
      </c>
      <c r="O30" s="72" t="str">
        <f t="shared" si="11"/>
        <v>x</v>
      </c>
      <c r="P30" s="72" t="str">
        <f t="shared" si="11"/>
        <v>x</v>
      </c>
      <c r="Q30" s="72" t="str">
        <f t="shared" si="11"/>
        <v>x</v>
      </c>
      <c r="R30" s="72" t="str">
        <f t="shared" si="11"/>
        <v>x</v>
      </c>
      <c r="S30" s="72" t="str">
        <f t="shared" si="11"/>
        <v>x</v>
      </c>
      <c r="T30" s="72" t="str">
        <f t="shared" si="11"/>
        <v>x</v>
      </c>
      <c r="U30" s="72" t="str">
        <f t="shared" si="11"/>
        <v>x</v>
      </c>
      <c r="V30" s="72" t="str">
        <f t="shared" si="11"/>
        <v>x</v>
      </c>
    </row>
    <row r="31" spans="1:22" ht="38.25" x14ac:dyDescent="0.2">
      <c r="A31" t="s">
        <v>336</v>
      </c>
      <c r="B31" s="35" t="s">
        <v>33</v>
      </c>
      <c r="C31" s="38" t="s">
        <v>623</v>
      </c>
      <c r="D31" s="5" t="s">
        <v>608</v>
      </c>
      <c r="E31" s="106"/>
      <c r="F31" s="239"/>
      <c r="G31" s="107"/>
      <c r="H31" s="226" t="str">
        <f>HYPERLINK(CONCATENATE("http://garwiki.regn.net/mediawiki/index.php/Scorecard_Rule_",MID(A31,FIND(":",A31)+1,9)),"?")</f>
        <v>?</v>
      </c>
      <c r="I31" s="72" t="s">
        <v>60</v>
      </c>
      <c r="J31" s="73" t="s">
        <v>60</v>
      </c>
      <c r="K31" s="72"/>
      <c r="L31" s="73"/>
      <c r="M31" s="295"/>
      <c r="N31" s="295"/>
      <c r="O31" s="72"/>
      <c r="P31" s="73"/>
      <c r="Q31" s="73"/>
      <c r="R31" s="73"/>
      <c r="S31" s="73"/>
      <c r="T31" s="73"/>
      <c r="U31" s="72" t="s">
        <v>60</v>
      </c>
      <c r="V31" s="73" t="s">
        <v>60</v>
      </c>
    </row>
    <row r="32" spans="1:22" ht="38.25" x14ac:dyDescent="0.2">
      <c r="A32" t="s">
        <v>337</v>
      </c>
      <c r="B32" s="35" t="s">
        <v>33</v>
      </c>
      <c r="C32" s="38" t="s">
        <v>624</v>
      </c>
      <c r="D32" s="30" t="s">
        <v>609</v>
      </c>
      <c r="E32" s="106"/>
      <c r="F32" s="239"/>
      <c r="G32" s="107"/>
      <c r="H32" s="226" t="str">
        <f>HYPERLINK(CONCATENATE("http://garwiki.regn.net/mediawiki/index.php/Scorecard_Rule_",MID(A32,FIND(":",A32)+1,9)),"?")</f>
        <v>?</v>
      </c>
      <c r="I32" s="72" t="s">
        <v>60</v>
      </c>
      <c r="J32" s="73" t="s">
        <v>60</v>
      </c>
      <c r="K32" s="72"/>
      <c r="L32" s="73"/>
      <c r="M32" s="98"/>
      <c r="N32" s="98"/>
      <c r="O32" s="73" t="s">
        <v>60</v>
      </c>
      <c r="P32" s="72" t="s">
        <v>60</v>
      </c>
      <c r="Q32" s="73" t="s">
        <v>60</v>
      </c>
      <c r="R32" s="73" t="s">
        <v>60</v>
      </c>
      <c r="S32" s="72" t="s">
        <v>60</v>
      </c>
      <c r="T32" s="72" t="s">
        <v>60</v>
      </c>
      <c r="U32" s="72" t="s">
        <v>60</v>
      </c>
      <c r="V32" s="73" t="s">
        <v>60</v>
      </c>
    </row>
    <row r="33" spans="1:22" ht="25.5" x14ac:dyDescent="0.2">
      <c r="A33" t="s">
        <v>338</v>
      </c>
      <c r="B33" s="35" t="s">
        <v>33</v>
      </c>
      <c r="C33" s="38" t="s">
        <v>625</v>
      </c>
      <c r="D33" s="234" t="s">
        <v>610</v>
      </c>
      <c r="E33" s="106"/>
      <c r="F33" s="239"/>
      <c r="G33" s="107"/>
      <c r="H33" s="226" t="str">
        <f>HYPERLINK(CONCATENATE("http://garwiki.regn.net/mediawiki/index.php/Scorecard_Rule_",MID(A33,FIND(":",A33)+1,9)),"?")</f>
        <v>?</v>
      </c>
      <c r="I33" s="72" t="s">
        <v>60</v>
      </c>
      <c r="J33" s="73" t="s">
        <v>60</v>
      </c>
      <c r="K33" s="72" t="s">
        <v>60</v>
      </c>
      <c r="L33" s="73" t="s">
        <v>60</v>
      </c>
      <c r="M33" s="295"/>
      <c r="N33" s="295"/>
      <c r="O33" s="73"/>
      <c r="P33" s="73"/>
      <c r="Q33" s="73"/>
      <c r="R33" s="73"/>
      <c r="S33" s="72" t="s">
        <v>60</v>
      </c>
      <c r="T33" s="72" t="s">
        <v>60</v>
      </c>
      <c r="U33" s="72" t="s">
        <v>60</v>
      </c>
      <c r="V33" s="73" t="s">
        <v>60</v>
      </c>
    </row>
    <row r="34" spans="1:22" ht="25.5" x14ac:dyDescent="0.2">
      <c r="A34" t="s">
        <v>339</v>
      </c>
      <c r="B34" s="35" t="s">
        <v>33</v>
      </c>
      <c r="C34" s="38" t="s">
        <v>626</v>
      </c>
      <c r="D34" s="30" t="s">
        <v>611</v>
      </c>
      <c r="E34" s="106"/>
      <c r="F34" s="239"/>
      <c r="G34" s="107"/>
      <c r="H34" s="226" t="str">
        <f t="shared" ref="H34" si="12">HYPERLINK(CONCATENATE("http://garwiki.regn.net/mediawiki/index.php/Scorecard_Rule_",MID(A34,FIND(":",A34)+1,9)),"?")</f>
        <v>?</v>
      </c>
      <c r="I34" s="72" t="s">
        <v>60</v>
      </c>
      <c r="J34" s="73" t="s">
        <v>60</v>
      </c>
      <c r="K34" s="72" t="s">
        <v>60</v>
      </c>
      <c r="L34" s="73" t="s">
        <v>60</v>
      </c>
      <c r="M34" s="98" t="s">
        <v>60</v>
      </c>
      <c r="N34" s="98" t="s">
        <v>60</v>
      </c>
      <c r="O34" s="73"/>
      <c r="P34" s="73"/>
      <c r="Q34" s="73"/>
      <c r="R34" s="73"/>
      <c r="S34" s="73"/>
      <c r="T34" s="73"/>
      <c r="U34" s="72" t="s">
        <v>60</v>
      </c>
      <c r="V34" s="73" t="s">
        <v>60</v>
      </c>
    </row>
    <row r="35" spans="1:22" x14ac:dyDescent="0.2">
      <c r="A35" t="s">
        <v>342</v>
      </c>
      <c r="B35" s="99" t="s">
        <v>59</v>
      </c>
      <c r="C35" s="101" t="s">
        <v>265</v>
      </c>
      <c r="D35" s="477" t="s">
        <v>655</v>
      </c>
      <c r="E35" s="478"/>
      <c r="F35" s="478"/>
      <c r="G35" s="479"/>
      <c r="H35" s="226" t="str">
        <f>HYPERLINK(CONCATENATE("http://garwiki.regn.net/mediawiki/index.php/",SUBSTITUTE(D35," ","_"),"_(golden_rule)"),"?")</f>
        <v>?</v>
      </c>
      <c r="I35" s="94" t="str">
        <f>I36</f>
        <v>x</v>
      </c>
      <c r="J35" s="94" t="str">
        <f t="shared" ref="J35:V35" si="13">J36</f>
        <v>x</v>
      </c>
      <c r="K35" s="94" t="str">
        <f>K36</f>
        <v>x</v>
      </c>
      <c r="L35" s="94" t="str">
        <f t="shared" si="13"/>
        <v>x</v>
      </c>
      <c r="M35" s="94" t="str">
        <f t="shared" si="13"/>
        <v>x</v>
      </c>
      <c r="N35" s="94" t="str">
        <f t="shared" si="13"/>
        <v>x</v>
      </c>
      <c r="O35" s="94" t="str">
        <f t="shared" si="13"/>
        <v>x</v>
      </c>
      <c r="P35" s="94" t="str">
        <f t="shared" si="13"/>
        <v>x</v>
      </c>
      <c r="Q35" s="94" t="str">
        <f t="shared" si="13"/>
        <v>x</v>
      </c>
      <c r="R35" s="94" t="str">
        <f t="shared" si="13"/>
        <v>x</v>
      </c>
      <c r="S35" s="94" t="str">
        <f t="shared" si="13"/>
        <v>x</v>
      </c>
      <c r="T35" s="94" t="str">
        <f t="shared" si="13"/>
        <v>x</v>
      </c>
      <c r="U35" s="94" t="str">
        <f>U36</f>
        <v>x</v>
      </c>
      <c r="V35" s="94" t="str">
        <f t="shared" si="13"/>
        <v>x</v>
      </c>
    </row>
    <row r="36" spans="1:22" x14ac:dyDescent="0.2">
      <c r="B36" s="474" t="s">
        <v>612</v>
      </c>
      <c r="C36" s="475"/>
      <c r="D36" s="476"/>
      <c r="E36" s="106"/>
      <c r="F36" s="238" t="s">
        <v>20</v>
      </c>
      <c r="G36" s="112"/>
      <c r="H36" s="226"/>
      <c r="I36" s="72" t="str">
        <f>IF(COUNTIF(I37:I37,"x")=0,"","x")</f>
        <v>x</v>
      </c>
      <c r="J36" s="72" t="str">
        <f t="shared" ref="J36:V36" si="14">IF(COUNTIF(J37:J37,"x")=0,"","x")</f>
        <v>x</v>
      </c>
      <c r="K36" s="72" t="str">
        <f>IF(COUNTIF(K37:K37,"x")=0,"","x")</f>
        <v>x</v>
      </c>
      <c r="L36" s="72" t="str">
        <f t="shared" si="14"/>
        <v>x</v>
      </c>
      <c r="M36" s="72" t="str">
        <f t="shared" si="14"/>
        <v>x</v>
      </c>
      <c r="N36" s="72" t="str">
        <f t="shared" si="14"/>
        <v>x</v>
      </c>
      <c r="O36" s="72" t="str">
        <f t="shared" si="14"/>
        <v>x</v>
      </c>
      <c r="P36" s="72" t="str">
        <f t="shared" si="14"/>
        <v>x</v>
      </c>
      <c r="Q36" s="72" t="str">
        <f t="shared" si="14"/>
        <v>x</v>
      </c>
      <c r="R36" s="72" t="str">
        <f t="shared" si="14"/>
        <v>x</v>
      </c>
      <c r="S36" s="72" t="str">
        <f t="shared" si="14"/>
        <v>x</v>
      </c>
      <c r="T36" s="72" t="str">
        <f t="shared" si="14"/>
        <v>x</v>
      </c>
      <c r="U36" s="72" t="str">
        <f>IF(COUNTIF(U37:U37,"x")=0,"","x")</f>
        <v>x</v>
      </c>
      <c r="V36" s="72" t="str">
        <f t="shared" si="14"/>
        <v>x</v>
      </c>
    </row>
    <row r="37" spans="1:22" ht="25.5" x14ac:dyDescent="0.2">
      <c r="A37" t="s">
        <v>343</v>
      </c>
      <c r="B37" s="31" t="s">
        <v>33</v>
      </c>
      <c r="C37" s="325" t="s">
        <v>627</v>
      </c>
      <c r="D37" s="52" t="s">
        <v>692</v>
      </c>
      <c r="E37" s="106"/>
      <c r="F37" s="239"/>
      <c r="G37" s="107"/>
      <c r="H37" s="226" t="str">
        <f t="shared" ref="H37" si="15">HYPERLINK(CONCATENATE("http://garwiki.regn.net/mediawiki/index.php/Scorecard_Rule_",MID(A37,FIND(":",A37)+1,9)),"?")</f>
        <v>?</v>
      </c>
      <c r="I37" s="72" t="s">
        <v>60</v>
      </c>
      <c r="J37" s="73" t="s">
        <v>60</v>
      </c>
      <c r="K37" s="72" t="s">
        <v>60</v>
      </c>
      <c r="L37" s="73" t="s">
        <v>60</v>
      </c>
      <c r="M37" s="295" t="s">
        <v>60</v>
      </c>
      <c r="N37" s="295" t="s">
        <v>60</v>
      </c>
      <c r="O37" s="73" t="s">
        <v>60</v>
      </c>
      <c r="P37" s="72" t="s">
        <v>60</v>
      </c>
      <c r="Q37" s="73" t="s">
        <v>60</v>
      </c>
      <c r="R37" s="73" t="s">
        <v>60</v>
      </c>
      <c r="S37" s="73" t="s">
        <v>60</v>
      </c>
      <c r="T37" s="73" t="s">
        <v>60</v>
      </c>
      <c r="U37" s="72" t="s">
        <v>60</v>
      </c>
      <c r="V37" s="73" t="s">
        <v>60</v>
      </c>
    </row>
    <row r="38" spans="1:22" x14ac:dyDescent="0.2">
      <c r="A38" t="s">
        <v>345</v>
      </c>
      <c r="B38" s="99" t="s">
        <v>59</v>
      </c>
      <c r="C38" s="101" t="s">
        <v>267</v>
      </c>
      <c r="D38" s="477" t="s">
        <v>685</v>
      </c>
      <c r="E38" s="478"/>
      <c r="F38" s="478"/>
      <c r="G38" s="479"/>
      <c r="H38" s="226" t="str">
        <f>HYPERLINK(CONCATENATE("http://garwiki.regn.net/mediawiki/index.php/",SUBSTITUTE(D38," ","_"),"_(golden_rule)"),"?")</f>
        <v>?</v>
      </c>
      <c r="I38" s="94" t="str">
        <f>I39</f>
        <v>x</v>
      </c>
      <c r="J38" s="94" t="str">
        <f t="shared" ref="J38:T38" si="16">J39</f>
        <v>x</v>
      </c>
      <c r="K38" s="94" t="str">
        <f>K39</f>
        <v>x</v>
      </c>
      <c r="L38" s="94" t="str">
        <f t="shared" si="16"/>
        <v>x</v>
      </c>
      <c r="M38" s="94" t="str">
        <f t="shared" si="16"/>
        <v>x</v>
      </c>
      <c r="N38" s="94" t="str">
        <f t="shared" si="16"/>
        <v>x</v>
      </c>
      <c r="O38" s="94" t="str">
        <f t="shared" si="16"/>
        <v>x</v>
      </c>
      <c r="P38" s="94" t="str">
        <f t="shared" si="16"/>
        <v>x</v>
      </c>
      <c r="Q38" s="94" t="str">
        <f t="shared" si="16"/>
        <v>x</v>
      </c>
      <c r="R38" s="94" t="str">
        <f t="shared" si="16"/>
        <v>x</v>
      </c>
      <c r="S38" s="94" t="str">
        <f t="shared" si="16"/>
        <v>x</v>
      </c>
      <c r="T38" s="94" t="str">
        <f t="shared" si="16"/>
        <v>x</v>
      </c>
      <c r="U38" s="94" t="str">
        <f>U39</f>
        <v>x</v>
      </c>
      <c r="V38" s="94" t="str">
        <f t="shared" ref="V38" si="17">V39</f>
        <v>x</v>
      </c>
    </row>
    <row r="39" spans="1:22" ht="25.5" customHeight="1" x14ac:dyDescent="0.2">
      <c r="B39" s="474" t="s">
        <v>613</v>
      </c>
      <c r="C39" s="475"/>
      <c r="D39" s="476"/>
      <c r="E39" s="106"/>
      <c r="F39" s="238" t="s">
        <v>20</v>
      </c>
      <c r="G39" s="112"/>
      <c r="H39" s="226"/>
      <c r="I39" s="72" t="str">
        <f>IF(COUNTIF(I40:I43,"x")=0,"","x")</f>
        <v>x</v>
      </c>
      <c r="J39" s="72" t="str">
        <f t="shared" ref="J39:V39" si="18">IF(COUNTIF(J40:J43,"x")=0,"","x")</f>
        <v>x</v>
      </c>
      <c r="K39" s="72" t="str">
        <f t="shared" si="18"/>
        <v>x</v>
      </c>
      <c r="L39" s="72" t="str">
        <f t="shared" si="18"/>
        <v>x</v>
      </c>
      <c r="M39" s="72" t="str">
        <f t="shared" si="18"/>
        <v>x</v>
      </c>
      <c r="N39" s="72" t="str">
        <f t="shared" si="18"/>
        <v>x</v>
      </c>
      <c r="O39" s="72" t="str">
        <f t="shared" si="18"/>
        <v>x</v>
      </c>
      <c r="P39" s="72" t="str">
        <f t="shared" si="18"/>
        <v>x</v>
      </c>
      <c r="Q39" s="72" t="str">
        <f t="shared" si="18"/>
        <v>x</v>
      </c>
      <c r="R39" s="72" t="str">
        <f t="shared" si="18"/>
        <v>x</v>
      </c>
      <c r="S39" s="72" t="str">
        <f t="shared" si="18"/>
        <v>x</v>
      </c>
      <c r="T39" s="72" t="str">
        <f t="shared" si="18"/>
        <v>x</v>
      </c>
      <c r="U39" s="72" t="str">
        <f t="shared" si="18"/>
        <v>x</v>
      </c>
      <c r="V39" s="72" t="str">
        <f t="shared" si="18"/>
        <v>x</v>
      </c>
    </row>
    <row r="40" spans="1:22" ht="38.25" x14ac:dyDescent="0.2">
      <c r="A40" t="s">
        <v>346</v>
      </c>
      <c r="B40" s="31" t="s">
        <v>33</v>
      </c>
      <c r="C40" s="38" t="s">
        <v>628</v>
      </c>
      <c r="D40" s="30" t="s">
        <v>693</v>
      </c>
      <c r="E40" s="106"/>
      <c r="F40" s="239"/>
      <c r="G40" s="115"/>
      <c r="H40" s="226" t="str">
        <f t="shared" ref="H40:H41" si="19">HYPERLINK(CONCATENATE("http://garwiki.regn.net/mediawiki/index.php/Scorecard_Rule_",MID(A40,FIND(":",A40)+1,9)),"?")</f>
        <v>?</v>
      </c>
      <c r="I40" s="72" t="s">
        <v>60</v>
      </c>
      <c r="J40" s="73" t="s">
        <v>60</v>
      </c>
      <c r="K40" s="72" t="s">
        <v>60</v>
      </c>
      <c r="L40" s="73" t="s">
        <v>60</v>
      </c>
      <c r="M40" s="295" t="s">
        <v>60</v>
      </c>
      <c r="N40" s="295" t="s">
        <v>60</v>
      </c>
      <c r="O40" s="73" t="s">
        <v>60</v>
      </c>
      <c r="P40" s="73" t="s">
        <v>60</v>
      </c>
      <c r="Q40" s="73" t="s">
        <v>60</v>
      </c>
      <c r="R40" s="73" t="s">
        <v>60</v>
      </c>
      <c r="S40" s="73" t="s">
        <v>60</v>
      </c>
      <c r="T40" s="73" t="s">
        <v>60</v>
      </c>
      <c r="U40" s="72" t="s">
        <v>60</v>
      </c>
      <c r="V40" s="73" t="s">
        <v>60</v>
      </c>
    </row>
    <row r="41" spans="1:22" ht="38.25" x14ac:dyDescent="0.2">
      <c r="A41" t="s">
        <v>347</v>
      </c>
      <c r="B41" s="31" t="s">
        <v>33</v>
      </c>
      <c r="C41" s="38" t="s">
        <v>629</v>
      </c>
      <c r="D41" s="5" t="s">
        <v>405</v>
      </c>
      <c r="E41" s="106"/>
      <c r="F41" s="239"/>
      <c r="G41" s="115"/>
      <c r="H41" s="226" t="str">
        <f t="shared" si="19"/>
        <v>?</v>
      </c>
      <c r="I41" s="72" t="s">
        <v>60</v>
      </c>
      <c r="J41" s="73" t="s">
        <v>60</v>
      </c>
      <c r="K41" s="72" t="s">
        <v>60</v>
      </c>
      <c r="L41" s="73" t="s">
        <v>60</v>
      </c>
      <c r="M41" s="295" t="s">
        <v>60</v>
      </c>
      <c r="N41" s="295" t="s">
        <v>60</v>
      </c>
      <c r="O41" s="72" t="s">
        <v>60</v>
      </c>
      <c r="P41" s="73" t="s">
        <v>60</v>
      </c>
      <c r="Q41" s="72" t="s">
        <v>60</v>
      </c>
      <c r="R41" s="73" t="s">
        <v>60</v>
      </c>
      <c r="S41" s="72" t="s">
        <v>60</v>
      </c>
      <c r="T41" s="73" t="s">
        <v>60</v>
      </c>
      <c r="U41" s="72" t="s">
        <v>60</v>
      </c>
      <c r="V41" s="73" t="s">
        <v>60</v>
      </c>
    </row>
    <row r="42" spans="1:22" x14ac:dyDescent="0.2">
      <c r="A42" t="s">
        <v>340</v>
      </c>
      <c r="B42" s="35" t="s">
        <v>33</v>
      </c>
      <c r="C42" s="38" t="s">
        <v>631</v>
      </c>
      <c r="D42" s="30" t="s">
        <v>640</v>
      </c>
      <c r="E42" s="106"/>
      <c r="F42" s="239"/>
      <c r="G42" s="107"/>
      <c r="H42" s="226" t="str">
        <f>HYPERLINK(CONCATENATE("http://garwiki.regn.net/mediawiki/index.php/Scorecard_Rule_",MID(A42,FIND(":",A42)+1,9)),"?")</f>
        <v>?</v>
      </c>
      <c r="I42" s="72" t="s">
        <v>60</v>
      </c>
      <c r="J42" s="73" t="s">
        <v>60</v>
      </c>
      <c r="K42" s="72" t="s">
        <v>60</v>
      </c>
      <c r="L42" s="73" t="s">
        <v>60</v>
      </c>
      <c r="M42" s="295" t="s">
        <v>60</v>
      </c>
      <c r="N42" s="295" t="s">
        <v>60</v>
      </c>
      <c r="O42" s="73" t="s">
        <v>60</v>
      </c>
      <c r="P42" s="73" t="s">
        <v>60</v>
      </c>
      <c r="Q42" s="73" t="s">
        <v>60</v>
      </c>
      <c r="R42" s="73" t="s">
        <v>60</v>
      </c>
      <c r="S42" s="73" t="s">
        <v>60</v>
      </c>
      <c r="T42" s="73" t="s">
        <v>60</v>
      </c>
      <c r="U42" s="72" t="s">
        <v>60</v>
      </c>
      <c r="V42" s="73" t="s">
        <v>60</v>
      </c>
    </row>
    <row r="43" spans="1:22" ht="25.5" x14ac:dyDescent="0.2">
      <c r="A43" t="s">
        <v>341</v>
      </c>
      <c r="B43" s="35" t="s">
        <v>33</v>
      </c>
      <c r="C43" s="38" t="s">
        <v>632</v>
      </c>
      <c r="D43" s="30" t="s">
        <v>630</v>
      </c>
      <c r="E43" s="106"/>
      <c r="F43" s="239"/>
      <c r="G43" s="107"/>
      <c r="H43" s="226" t="str">
        <f>HYPERLINK(CONCATENATE("http://garwiki.regn.net/mediawiki/index.php/Scorecard_Rule_",MID(A43,FIND(":",A43)+1,9)),"?")</f>
        <v>?</v>
      </c>
      <c r="I43" s="72" t="s">
        <v>60</v>
      </c>
      <c r="J43" s="73" t="s">
        <v>60</v>
      </c>
      <c r="K43" s="72" t="s">
        <v>60</v>
      </c>
      <c r="L43" s="73" t="s">
        <v>60</v>
      </c>
      <c r="M43" s="295" t="s">
        <v>60</v>
      </c>
      <c r="N43" s="295" t="s">
        <v>60</v>
      </c>
      <c r="O43" s="73" t="s">
        <v>60</v>
      </c>
      <c r="P43" s="73" t="s">
        <v>60</v>
      </c>
      <c r="Q43" s="73" t="s">
        <v>60</v>
      </c>
      <c r="R43" s="73" t="s">
        <v>60</v>
      </c>
      <c r="S43" s="73" t="s">
        <v>60</v>
      </c>
      <c r="T43" s="73" t="s">
        <v>60</v>
      </c>
      <c r="U43" s="72" t="s">
        <v>60</v>
      </c>
      <c r="V43" s="73" t="s">
        <v>60</v>
      </c>
    </row>
  </sheetData>
  <sheetProtection algorithmName="SHA-512" hashValue="rtqz/osAIci/OpWbMLxw9M0pDUDQ1La2l4nT0O0fg0kuhaSXjPK+KHWDDApfhRK96BpZNbGuX9w0RHY4luvrHg==" saltValue="cNZz4HZNAWRjcNo6IpHRvg==" spinCount="100000" sheet="1" objects="1" scenarios="1" formatColumns="0" formatRows="0"/>
  <mergeCells count="25">
    <mergeCell ref="U2:V2"/>
    <mergeCell ref="B26:D26"/>
    <mergeCell ref="B2:D2"/>
    <mergeCell ref="B6:D6"/>
    <mergeCell ref="B20:D20"/>
    <mergeCell ref="B10:D10"/>
    <mergeCell ref="B15:D15"/>
    <mergeCell ref="D5:G5"/>
    <mergeCell ref="D9:G9"/>
    <mergeCell ref="D14:G14"/>
    <mergeCell ref="D19:G19"/>
    <mergeCell ref="D25:G25"/>
    <mergeCell ref="D1:G1"/>
    <mergeCell ref="I2:J2"/>
    <mergeCell ref="O2:P2"/>
    <mergeCell ref="Q2:R2"/>
    <mergeCell ref="S2:T2"/>
    <mergeCell ref="M2:N2"/>
    <mergeCell ref="K2:L2"/>
    <mergeCell ref="B36:D36"/>
    <mergeCell ref="D38:G38"/>
    <mergeCell ref="B39:D39"/>
    <mergeCell ref="D29:G29"/>
    <mergeCell ref="B30:D30"/>
    <mergeCell ref="D35:G35"/>
  </mergeCells>
  <phoneticPr fontId="2" type="noConversion"/>
  <conditionalFormatting sqref="E2:E7 E9:E13 E15:E17 E25:E28">
    <cfRule type="cellIs" dxfId="129" priority="51" stopIfTrue="1" operator="equal">
      <formula>"Yes-N/A"</formula>
    </cfRule>
    <cfRule type="cellIs" dxfId="128" priority="142" stopIfTrue="1" operator="equal">
      <formula>"Y"</formula>
    </cfRule>
    <cfRule type="cellIs" dxfId="127" priority="143" stopIfTrue="1" operator="equal">
      <formula>"N/A"</formula>
    </cfRule>
    <cfRule type="cellIs" dxfId="126" priority="144" stopIfTrue="1" operator="equal">
      <formula>"WVR"</formula>
    </cfRule>
    <cfRule type="cellIs" dxfId="125" priority="145" stopIfTrue="1" operator="equal">
      <formula>"R"</formula>
    </cfRule>
    <cfRule type="cellIs" dxfId="124" priority="146" stopIfTrue="1" operator="equal">
      <formula>"G"</formula>
    </cfRule>
    <cfRule type="cellIs" dxfId="123" priority="150" stopIfTrue="1" operator="equal">
      <formula>"T-WVR"</formula>
    </cfRule>
    <cfRule type="cellIs" dxfId="122" priority="152" stopIfTrue="1" operator="equal">
      <formula>"P-WVR"</formula>
    </cfRule>
    <cfRule type="cellIs" dxfId="121" priority="153" stopIfTrue="1" operator="equal">
      <formula>"No"</formula>
    </cfRule>
    <cfRule type="cellIs" dxfId="120" priority="154" stopIfTrue="1" operator="equal">
      <formula>"Yes"</formula>
    </cfRule>
  </conditionalFormatting>
  <conditionalFormatting sqref="E14">
    <cfRule type="cellIs" dxfId="119" priority="31" stopIfTrue="1" operator="equal">
      <formula>"Yes-N/A"</formula>
    </cfRule>
    <cfRule type="cellIs" dxfId="118" priority="32" stopIfTrue="1" operator="equal">
      <formula>"Y"</formula>
    </cfRule>
    <cfRule type="cellIs" dxfId="117" priority="33" stopIfTrue="1" operator="equal">
      <formula>"N/A"</formula>
    </cfRule>
    <cfRule type="cellIs" dxfId="116" priority="34" stopIfTrue="1" operator="equal">
      <formula>"WVR"</formula>
    </cfRule>
    <cfRule type="cellIs" dxfId="115" priority="35" stopIfTrue="1" operator="equal">
      <formula>"R"</formula>
    </cfRule>
    <cfRule type="cellIs" dxfId="114" priority="36" stopIfTrue="1" operator="equal">
      <formula>"G"</formula>
    </cfRule>
    <cfRule type="cellIs" dxfId="113" priority="37" stopIfTrue="1" operator="equal">
      <formula>"T-WVR"</formula>
    </cfRule>
    <cfRule type="cellIs" dxfId="112" priority="38" stopIfTrue="1" operator="equal">
      <formula>"P-WVR"</formula>
    </cfRule>
    <cfRule type="cellIs" dxfId="111" priority="39" stopIfTrue="1" operator="equal">
      <formula>"No"</formula>
    </cfRule>
    <cfRule type="cellIs" dxfId="110" priority="40" stopIfTrue="1" operator="equal">
      <formula>"Yes"</formula>
    </cfRule>
  </conditionalFormatting>
  <conditionalFormatting sqref="E8 E18 E29:E43">
    <cfRule type="cellIs" dxfId="109" priority="21" operator="equal">
      <formula>"Yes-N/A"</formula>
    </cfRule>
    <cfRule type="cellIs" dxfId="108" priority="22" stopIfTrue="1" operator="equal">
      <formula>"WVR"</formula>
    </cfRule>
    <cfRule type="cellIs" dxfId="107" priority="23" stopIfTrue="1" operator="equal">
      <formula>"T-WVR"</formula>
    </cfRule>
    <cfRule type="cellIs" dxfId="106" priority="24" stopIfTrue="1" operator="equal">
      <formula>"P-WVR"</formula>
    </cfRule>
    <cfRule type="cellIs" dxfId="105" priority="25" stopIfTrue="1" operator="equal">
      <formula>"No"</formula>
    </cfRule>
    <cfRule type="cellIs" dxfId="104" priority="26" stopIfTrue="1" operator="equal">
      <formula>"Yes"</formula>
    </cfRule>
    <cfRule type="cellIs" dxfId="103" priority="27" stopIfTrue="1" operator="equal">
      <formula>"N/A"</formula>
    </cfRule>
    <cfRule type="cellIs" dxfId="102" priority="28" stopIfTrue="1" operator="equal">
      <formula>"R"</formula>
    </cfRule>
    <cfRule type="cellIs" dxfId="101" priority="29" stopIfTrue="1" operator="equal">
      <formula>"Y"</formula>
    </cfRule>
    <cfRule type="cellIs" dxfId="100" priority="30" stopIfTrue="1" operator="equal">
      <formula>"G"</formula>
    </cfRule>
  </conditionalFormatting>
  <conditionalFormatting sqref="E19:E22">
    <cfRule type="cellIs" dxfId="99" priority="11" stopIfTrue="1" operator="equal">
      <formula>"Yes-N/A"</formula>
    </cfRule>
    <cfRule type="cellIs" dxfId="98" priority="12" stopIfTrue="1" operator="equal">
      <formula>"Y"</formula>
    </cfRule>
    <cfRule type="cellIs" dxfId="97" priority="13" stopIfTrue="1" operator="equal">
      <formula>"N/A"</formula>
    </cfRule>
    <cfRule type="cellIs" dxfId="96" priority="14" stopIfTrue="1" operator="equal">
      <formula>"WVR"</formula>
    </cfRule>
    <cfRule type="cellIs" dxfId="95" priority="15" stopIfTrue="1" operator="equal">
      <formula>"R"</formula>
    </cfRule>
    <cfRule type="cellIs" dxfId="94" priority="16" stopIfTrue="1" operator="equal">
      <formula>"G"</formula>
    </cfRule>
    <cfRule type="cellIs" dxfId="93" priority="17" stopIfTrue="1" operator="equal">
      <formula>"T-WVR"</formula>
    </cfRule>
    <cfRule type="cellIs" dxfId="92" priority="18" stopIfTrue="1" operator="equal">
      <formula>"P-WVR"</formula>
    </cfRule>
    <cfRule type="cellIs" dxfId="91" priority="19" stopIfTrue="1" operator="equal">
      <formula>"No"</formula>
    </cfRule>
    <cfRule type="cellIs" dxfId="90" priority="20" stopIfTrue="1" operator="equal">
      <formula>"Yes"</formula>
    </cfRule>
  </conditionalFormatting>
  <conditionalFormatting sqref="E23:E24">
    <cfRule type="cellIs" dxfId="89" priority="1" stopIfTrue="1" operator="equal">
      <formula>"Yes-N/A"</formula>
    </cfRule>
    <cfRule type="cellIs" dxfId="88" priority="2" stopIfTrue="1" operator="equal">
      <formula>"Y"</formula>
    </cfRule>
    <cfRule type="cellIs" dxfId="87" priority="3" stopIfTrue="1" operator="equal">
      <formula>"N/A"</formula>
    </cfRule>
    <cfRule type="cellIs" dxfId="86" priority="4" stopIfTrue="1" operator="equal">
      <formula>"WVR"</formula>
    </cfRule>
    <cfRule type="cellIs" dxfId="85" priority="5" stopIfTrue="1" operator="equal">
      <formula>"R"</formula>
    </cfRule>
    <cfRule type="cellIs" dxfId="84" priority="6" stopIfTrue="1" operator="equal">
      <formula>"G"</formula>
    </cfRule>
    <cfRule type="cellIs" dxfId="83" priority="7" stopIfTrue="1" operator="equal">
      <formula>"T-WVR"</formula>
    </cfRule>
    <cfRule type="cellIs" dxfId="82" priority="8" stopIfTrue="1" operator="equal">
      <formula>"P-WVR"</formula>
    </cfRule>
    <cfRule type="cellIs" dxfId="81" priority="9" stopIfTrue="1" operator="equal">
      <formula>"No"</formula>
    </cfRule>
    <cfRule type="cellIs" dxfId="80" priority="10" stopIfTrue="1" operator="equal">
      <formula>"Yes"</formula>
    </cfRule>
  </conditionalFormatting>
  <dataValidations count="4">
    <dataValidation type="list" allowBlank="1" showInputMessage="1" showErrorMessage="1" sqref="E21:E24 E11:E13 E7:E8 E31:E34 E40:E43 E27:E28 E16:E18 E37">
      <formula1>ValidValues</formula1>
    </dataValidation>
    <dataValidation type="list" allowBlank="1" showInputMessage="1" showErrorMessage="1" sqref="E6 E36 E15 E10 E39 E30 E26 E20">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43">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fitToPage="1"/>
  </sheetPr>
  <dimension ref="A1:V20"/>
  <sheetViews>
    <sheetView zoomScaleNormal="100" workbookViewId="0">
      <pane ySplit="4" topLeftCell="A5" activePane="bottomLeft" state="frozenSplit"/>
      <selection pane="bottomLeft" activeCell="E7" sqref="E7"/>
    </sheetView>
  </sheetViews>
  <sheetFormatPr defaultColWidth="8.85546875"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22" width="3.7109375" customWidth="1"/>
  </cols>
  <sheetData>
    <row r="1" spans="1:22" ht="22.5" x14ac:dyDescent="0.2">
      <c r="A1" t="s">
        <v>318</v>
      </c>
      <c r="B1" s="302" t="s">
        <v>59</v>
      </c>
      <c r="C1" s="303">
        <v>3</v>
      </c>
      <c r="D1" s="470" t="s">
        <v>292</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40.5" customHeight="1" thickBot="1" x14ac:dyDescent="0.25">
      <c r="B2" s="482" t="s">
        <v>568</v>
      </c>
      <c r="C2" s="487"/>
      <c r="D2" s="487"/>
      <c r="E2" s="221"/>
      <c r="F2" s="235" t="s">
        <v>20</v>
      </c>
      <c r="G2" s="211"/>
      <c r="H2" s="104"/>
      <c r="I2" s="473" t="s">
        <v>480</v>
      </c>
      <c r="J2" s="473"/>
      <c r="K2" s="473" t="s">
        <v>481</v>
      </c>
      <c r="L2" s="473"/>
      <c r="M2" s="473" t="s">
        <v>388</v>
      </c>
      <c r="N2" s="473"/>
      <c r="O2" s="473" t="s">
        <v>389</v>
      </c>
      <c r="P2" s="473"/>
      <c r="Q2" s="473" t="s">
        <v>390</v>
      </c>
      <c r="R2" s="473"/>
      <c r="S2" s="473" t="s">
        <v>391</v>
      </c>
      <c r="T2" s="473"/>
      <c r="U2" s="473" t="s">
        <v>538</v>
      </c>
      <c r="V2" s="473"/>
    </row>
    <row r="3" spans="1:22" ht="13.5" thickBot="1" x14ac:dyDescent="0.25">
      <c r="B3" s="11"/>
      <c r="C3" s="11"/>
      <c r="D3" s="11"/>
      <c r="E3" s="136"/>
      <c r="F3" s="116"/>
      <c r="G3" s="137"/>
      <c r="H3" s="104"/>
      <c r="I3" s="73"/>
      <c r="J3" s="73"/>
      <c r="K3" s="73"/>
      <c r="L3" s="73"/>
      <c r="M3" s="46"/>
      <c r="N3" s="46"/>
      <c r="O3" s="73"/>
      <c r="P3" s="73"/>
      <c r="Q3" s="73"/>
      <c r="R3" s="73"/>
      <c r="S3" s="73"/>
      <c r="T3" s="73"/>
      <c r="U3" s="73"/>
      <c r="V3" s="73"/>
    </row>
    <row r="4" spans="1:22" ht="25.5" x14ac:dyDescent="0.2">
      <c r="B4" s="19" t="s">
        <v>31</v>
      </c>
      <c r="C4" s="13" t="s">
        <v>32</v>
      </c>
      <c r="D4" s="13" t="s">
        <v>23</v>
      </c>
      <c r="E4" s="215" t="s">
        <v>30</v>
      </c>
      <c r="F4" s="216" t="s">
        <v>39</v>
      </c>
      <c r="G4" s="209" t="s">
        <v>215</v>
      </c>
      <c r="H4" s="104"/>
      <c r="I4" s="72" t="s">
        <v>60</v>
      </c>
      <c r="J4" s="73" t="s">
        <v>60</v>
      </c>
      <c r="K4" s="72" t="s">
        <v>60</v>
      </c>
      <c r="L4" s="73" t="s">
        <v>60</v>
      </c>
      <c r="M4" s="46" t="s">
        <v>60</v>
      </c>
      <c r="N4" s="46" t="s">
        <v>60</v>
      </c>
      <c r="O4" s="72" t="s">
        <v>60</v>
      </c>
      <c r="P4" s="72" t="s">
        <v>60</v>
      </c>
      <c r="Q4" s="72" t="s">
        <v>60</v>
      </c>
      <c r="R4" s="72" t="s">
        <v>60</v>
      </c>
      <c r="S4" s="72" t="s">
        <v>60</v>
      </c>
      <c r="T4" s="72" t="s">
        <v>60</v>
      </c>
      <c r="U4" s="72" t="s">
        <v>60</v>
      </c>
      <c r="V4" s="73" t="s">
        <v>60</v>
      </c>
    </row>
    <row r="5" spans="1:22" x14ac:dyDescent="0.2">
      <c r="A5" t="s">
        <v>319</v>
      </c>
      <c r="B5" s="99" t="s">
        <v>59</v>
      </c>
      <c r="C5" s="101" t="s">
        <v>177</v>
      </c>
      <c r="D5" s="477" t="s">
        <v>329</v>
      </c>
      <c r="E5" s="478"/>
      <c r="F5" s="478"/>
      <c r="G5" s="479"/>
      <c r="H5" s="226" t="str">
        <f>HYPERLINK(CONCATENATE("http://garwiki.regn.net/mediawiki/index.php/",SUBSTITUTE(D5," ","_"),"_(golden_rule)"),"?")</f>
        <v>?</v>
      </c>
      <c r="I5" s="94" t="str">
        <f>I6</f>
        <v>x</v>
      </c>
      <c r="J5" s="94" t="str">
        <f t="shared" ref="J5:V5" si="0">J6</f>
        <v>x</v>
      </c>
      <c r="K5" s="94" t="str">
        <f>K6</f>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U6</f>
        <v>x</v>
      </c>
      <c r="V5" s="94" t="str">
        <f t="shared" si="0"/>
        <v>x</v>
      </c>
    </row>
    <row r="6" spans="1:22" x14ac:dyDescent="0.2">
      <c r="B6" s="474" t="s">
        <v>330</v>
      </c>
      <c r="C6" s="475"/>
      <c r="D6" s="476"/>
      <c r="E6" s="106"/>
      <c r="F6" s="238" t="s">
        <v>20</v>
      </c>
      <c r="G6" s="113"/>
      <c r="H6" s="226"/>
      <c r="I6" s="72" t="str">
        <f t="shared" ref="I6:V6" si="1">IF(COUNTIF(I7:I9,"x")=0,"","x")</f>
        <v>x</v>
      </c>
      <c r="J6" s="72" t="str">
        <f t="shared" si="1"/>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x14ac:dyDescent="0.2">
      <c r="A7" t="s">
        <v>320</v>
      </c>
      <c r="B7" s="29" t="s">
        <v>33</v>
      </c>
      <c r="C7" s="38" t="s">
        <v>37</v>
      </c>
      <c r="D7" s="258" t="s">
        <v>457</v>
      </c>
      <c r="E7" s="106"/>
      <c r="F7" s="239"/>
      <c r="G7" s="107"/>
      <c r="H7" s="226" t="str">
        <f t="shared" ref="H7:H9" si="2">HYPERLINK(CONCATENATE("http://garwiki.regn.net/mediawiki/index.php/Scorecard_Rule_",MID(A7,FIND(":",A7)+1,9)),"?")</f>
        <v>?</v>
      </c>
      <c r="I7" s="72" t="s">
        <v>60</v>
      </c>
      <c r="J7" s="72" t="s">
        <v>60</v>
      </c>
      <c r="K7" s="72"/>
      <c r="L7" s="72"/>
      <c r="M7" s="46" t="s">
        <v>60</v>
      </c>
      <c r="N7" s="46" t="s">
        <v>60</v>
      </c>
      <c r="O7" s="72" t="s">
        <v>60</v>
      </c>
      <c r="P7" s="72" t="s">
        <v>60</v>
      </c>
      <c r="Q7" s="72" t="s">
        <v>60</v>
      </c>
      <c r="R7" s="72" t="s">
        <v>60</v>
      </c>
      <c r="S7" s="72" t="s">
        <v>60</v>
      </c>
      <c r="T7" s="72" t="s">
        <v>60</v>
      </c>
      <c r="U7" s="72" t="s">
        <v>60</v>
      </c>
      <c r="V7" s="72" t="s">
        <v>60</v>
      </c>
    </row>
    <row r="8" spans="1:22" ht="25.5" x14ac:dyDescent="0.2">
      <c r="A8" t="s">
        <v>471</v>
      </c>
      <c r="B8" s="29" t="s">
        <v>33</v>
      </c>
      <c r="C8" s="38" t="s">
        <v>38</v>
      </c>
      <c r="D8" s="258" t="s">
        <v>512</v>
      </c>
      <c r="E8" s="277"/>
      <c r="F8" s="274"/>
      <c r="G8" s="275"/>
      <c r="H8" s="226" t="str">
        <f t="shared" si="2"/>
        <v>?</v>
      </c>
      <c r="I8" s="72" t="s">
        <v>60</v>
      </c>
      <c r="J8" s="72" t="s">
        <v>60</v>
      </c>
      <c r="K8" s="72"/>
      <c r="L8" s="72"/>
      <c r="M8" s="267" t="s">
        <v>60</v>
      </c>
      <c r="N8" s="267" t="s">
        <v>60</v>
      </c>
      <c r="O8" s="72" t="s">
        <v>60</v>
      </c>
      <c r="P8" s="72" t="s">
        <v>60</v>
      </c>
      <c r="Q8" s="72" t="s">
        <v>60</v>
      </c>
      <c r="R8" s="72" t="s">
        <v>60</v>
      </c>
      <c r="S8" s="72" t="s">
        <v>60</v>
      </c>
      <c r="T8" s="72" t="s">
        <v>60</v>
      </c>
      <c r="U8" s="72" t="s">
        <v>60</v>
      </c>
      <c r="V8" s="72" t="s">
        <v>60</v>
      </c>
    </row>
    <row r="9" spans="1:22" ht="38.25" x14ac:dyDescent="0.2">
      <c r="A9" t="s">
        <v>321</v>
      </c>
      <c r="B9" s="29" t="s">
        <v>33</v>
      </c>
      <c r="C9" s="38" t="s">
        <v>63</v>
      </c>
      <c r="D9" s="258" t="s">
        <v>633</v>
      </c>
      <c r="E9" s="106"/>
      <c r="F9" s="239"/>
      <c r="G9" s="107"/>
      <c r="H9" s="226" t="str">
        <f t="shared" si="2"/>
        <v>?</v>
      </c>
      <c r="I9" s="72" t="s">
        <v>60</v>
      </c>
      <c r="J9" s="72" t="s">
        <v>60</v>
      </c>
      <c r="K9" s="72" t="s">
        <v>60</v>
      </c>
      <c r="L9" s="72" t="s">
        <v>60</v>
      </c>
      <c r="M9" s="257" t="s">
        <v>60</v>
      </c>
      <c r="N9" s="257" t="s">
        <v>60</v>
      </c>
      <c r="O9" s="72" t="s">
        <v>60</v>
      </c>
      <c r="P9" s="72" t="s">
        <v>60</v>
      </c>
      <c r="Q9" s="72" t="s">
        <v>60</v>
      </c>
      <c r="R9" s="72" t="s">
        <v>60</v>
      </c>
      <c r="S9" s="72" t="s">
        <v>60</v>
      </c>
      <c r="T9" s="72" t="s">
        <v>60</v>
      </c>
      <c r="U9" s="72" t="s">
        <v>60</v>
      </c>
      <c r="V9" s="72" t="s">
        <v>60</v>
      </c>
    </row>
    <row r="10" spans="1:22" x14ac:dyDescent="0.2">
      <c r="A10" t="s">
        <v>322</v>
      </c>
      <c r="B10" s="100" t="s">
        <v>59</v>
      </c>
      <c r="C10" s="101" t="s">
        <v>178</v>
      </c>
      <c r="D10" s="477" t="s">
        <v>331</v>
      </c>
      <c r="E10" s="478"/>
      <c r="F10" s="478"/>
      <c r="G10" s="479"/>
      <c r="H10" s="226" t="str">
        <f>HYPERLINK(CONCATENATE("http://garwiki.regn.net/mediawiki/index.php/",SUBSTITUTE(D10," ","_"),"_(golden_rule)"),"?")</f>
        <v>?</v>
      </c>
      <c r="I10" s="94" t="str">
        <f>I11</f>
        <v>x</v>
      </c>
      <c r="J10" s="94" t="str">
        <f t="shared" ref="J10:V10" si="3">J11</f>
        <v>x</v>
      </c>
      <c r="K10" s="94" t="str">
        <f>K11</f>
        <v/>
      </c>
      <c r="L10" s="94" t="str">
        <f t="shared" si="3"/>
        <v/>
      </c>
      <c r="M10" s="94" t="str">
        <f t="shared" si="3"/>
        <v>x</v>
      </c>
      <c r="N10" s="94" t="str">
        <f t="shared" si="3"/>
        <v>x</v>
      </c>
      <c r="O10" s="94" t="str">
        <f t="shared" si="3"/>
        <v>x</v>
      </c>
      <c r="P10" s="94" t="str">
        <f t="shared" si="3"/>
        <v>x</v>
      </c>
      <c r="Q10" s="94" t="str">
        <f t="shared" si="3"/>
        <v>x</v>
      </c>
      <c r="R10" s="94" t="str">
        <f t="shared" si="3"/>
        <v>x</v>
      </c>
      <c r="S10" s="94" t="str">
        <f t="shared" si="3"/>
        <v>x</v>
      </c>
      <c r="T10" s="94" t="str">
        <f t="shared" si="3"/>
        <v>x</v>
      </c>
      <c r="U10" s="94" t="str">
        <f>U11</f>
        <v>x</v>
      </c>
      <c r="V10" s="94" t="str">
        <f t="shared" si="3"/>
        <v>x</v>
      </c>
    </row>
    <row r="11" spans="1:22" x14ac:dyDescent="0.2">
      <c r="B11" s="488" t="s">
        <v>332</v>
      </c>
      <c r="C11" s="489"/>
      <c r="D11" s="490"/>
      <c r="E11" s="114"/>
      <c r="F11" s="240" t="s">
        <v>20</v>
      </c>
      <c r="G11" s="113"/>
      <c r="H11" s="226"/>
      <c r="I11" s="72" t="str">
        <f>IF(COUNTIF(I12:I20,"x")=0,"","x")</f>
        <v>x</v>
      </c>
      <c r="J11" s="72" t="str">
        <f t="shared" ref="J11:V11" si="4">IF(COUNTIF(J12:J20,"x")=0,"","x")</f>
        <v>x</v>
      </c>
      <c r="K11" s="72" t="str">
        <f t="shared" si="4"/>
        <v/>
      </c>
      <c r="L11" s="72" t="str">
        <f t="shared" si="4"/>
        <v/>
      </c>
      <c r="M11" s="72" t="str">
        <f t="shared" si="4"/>
        <v>x</v>
      </c>
      <c r="N11" s="72" t="str">
        <f t="shared" si="4"/>
        <v>x</v>
      </c>
      <c r="O11" s="72" t="str">
        <f t="shared" si="4"/>
        <v>x</v>
      </c>
      <c r="P11" s="72" t="str">
        <f t="shared" si="4"/>
        <v>x</v>
      </c>
      <c r="Q11" s="72" t="str">
        <f t="shared" si="4"/>
        <v>x</v>
      </c>
      <c r="R11" s="72" t="str">
        <f t="shared" si="4"/>
        <v>x</v>
      </c>
      <c r="S11" s="72" t="str">
        <f t="shared" si="4"/>
        <v>x</v>
      </c>
      <c r="T11" s="72" t="str">
        <f t="shared" si="4"/>
        <v>x</v>
      </c>
      <c r="U11" s="72" t="str">
        <f t="shared" si="4"/>
        <v>x</v>
      </c>
      <c r="V11" s="72" t="str">
        <f t="shared" si="4"/>
        <v>x</v>
      </c>
    </row>
    <row r="12" spans="1:22" ht="25.5" x14ac:dyDescent="0.2">
      <c r="A12" t="s">
        <v>323</v>
      </c>
      <c r="B12" s="51" t="s">
        <v>33</v>
      </c>
      <c r="C12" s="324" t="s">
        <v>27</v>
      </c>
      <c r="D12" s="52" t="s">
        <v>551</v>
      </c>
      <c r="E12" s="114"/>
      <c r="F12" s="237"/>
      <c r="G12" s="107"/>
      <c r="H12" s="226" t="str">
        <f>HYPERLINK(CONCATENATE("http://garwiki.regn.net/mediawiki/index.php/Scorecard_Rule_",MID(A12,FIND(":",A12)+1,9)),"?")</f>
        <v>?</v>
      </c>
      <c r="I12" s="72" t="s">
        <v>60</v>
      </c>
      <c r="J12" s="72" t="s">
        <v>60</v>
      </c>
      <c r="K12" s="72"/>
      <c r="L12" s="72"/>
      <c r="M12" s="46"/>
      <c r="N12" s="46"/>
      <c r="O12" s="72" t="s">
        <v>60</v>
      </c>
      <c r="P12" s="72" t="s">
        <v>60</v>
      </c>
      <c r="Q12" s="72"/>
      <c r="R12" s="72"/>
      <c r="S12" s="72"/>
      <c r="T12" s="72"/>
      <c r="U12" s="72" t="s">
        <v>60</v>
      </c>
      <c r="V12" s="72" t="s">
        <v>60</v>
      </c>
    </row>
    <row r="13" spans="1:22" ht="25.5" x14ac:dyDescent="0.2">
      <c r="A13" t="s">
        <v>324</v>
      </c>
      <c r="B13" s="51" t="s">
        <v>33</v>
      </c>
      <c r="C13" s="324" t="s">
        <v>302</v>
      </c>
      <c r="D13" s="30" t="s">
        <v>634</v>
      </c>
      <c r="E13" s="114"/>
      <c r="F13" s="237"/>
      <c r="G13" s="107"/>
      <c r="H13" s="226" t="str">
        <f>HYPERLINK(CONCATENATE("http://garwiki.regn.net/mediawiki/index.php/Scorecard_Rule_",MID(A13,FIND(":",A13)+1,9)),"?")</f>
        <v>?</v>
      </c>
      <c r="I13" s="72" t="s">
        <v>60</v>
      </c>
      <c r="J13" s="72" t="s">
        <v>60</v>
      </c>
      <c r="K13" s="72"/>
      <c r="L13" s="72"/>
      <c r="M13" s="46"/>
      <c r="N13" s="46"/>
      <c r="O13" s="73"/>
      <c r="P13" s="72"/>
      <c r="Q13" s="73"/>
      <c r="R13" s="72"/>
      <c r="S13" s="73"/>
      <c r="T13" s="72"/>
      <c r="U13" s="72"/>
      <c r="V13" s="72"/>
    </row>
    <row r="14" spans="1:22" ht="25.5" x14ac:dyDescent="0.2">
      <c r="A14" t="s">
        <v>325</v>
      </c>
      <c r="B14" s="51" t="s">
        <v>33</v>
      </c>
      <c r="C14" s="324" t="s">
        <v>300</v>
      </c>
      <c r="D14" s="52" t="s">
        <v>333</v>
      </c>
      <c r="E14" s="114"/>
      <c r="F14" s="237"/>
      <c r="G14" s="107"/>
      <c r="H14" s="226" t="str">
        <f>HYPERLINK(CONCATENATE("http://garwiki.regn.net/mediawiki/index.php/Scorecard_Rule_",MID(A14,FIND(":",A14)+1,9)),"?")</f>
        <v>?</v>
      </c>
      <c r="I14" s="72" t="s">
        <v>60</v>
      </c>
      <c r="J14" s="72" t="s">
        <v>60</v>
      </c>
      <c r="K14" s="72"/>
      <c r="L14" s="72"/>
      <c r="M14" s="98" t="s">
        <v>60</v>
      </c>
      <c r="N14" s="98" t="s">
        <v>60</v>
      </c>
      <c r="O14" s="73" t="s">
        <v>60</v>
      </c>
      <c r="P14" s="72" t="s">
        <v>60</v>
      </c>
      <c r="Q14" s="73" t="s">
        <v>60</v>
      </c>
      <c r="R14" s="72" t="s">
        <v>60</v>
      </c>
      <c r="S14" s="73" t="s">
        <v>60</v>
      </c>
      <c r="T14" s="72" t="s">
        <v>60</v>
      </c>
      <c r="U14" s="72"/>
      <c r="V14" s="72"/>
    </row>
    <row r="15" spans="1:22" ht="25.5" x14ac:dyDescent="0.2">
      <c r="A15" t="s">
        <v>326</v>
      </c>
      <c r="B15" s="51" t="s">
        <v>33</v>
      </c>
      <c r="C15" s="324" t="s">
        <v>513</v>
      </c>
      <c r="D15" s="30" t="s">
        <v>696</v>
      </c>
      <c r="E15" s="114"/>
      <c r="F15" s="237"/>
      <c r="G15" s="107"/>
      <c r="H15" s="226" t="str">
        <f t="shared" ref="H15:H20" si="5">HYPERLINK(CONCATENATE("http://garwiki.regn.net/mediawiki/index.php/Scorecard_Rule_",MID(A15,FIND(":",A15)+1,9)),"?")</f>
        <v>?</v>
      </c>
      <c r="I15" s="72" t="s">
        <v>60</v>
      </c>
      <c r="J15" s="72" t="s">
        <v>60</v>
      </c>
      <c r="K15" s="72"/>
      <c r="L15" s="72"/>
      <c r="M15" s="46" t="s">
        <v>60</v>
      </c>
      <c r="N15" s="46" t="s">
        <v>60</v>
      </c>
      <c r="O15" s="73" t="s">
        <v>60</v>
      </c>
      <c r="P15" s="72" t="s">
        <v>60</v>
      </c>
      <c r="Q15" s="73" t="s">
        <v>60</v>
      </c>
      <c r="R15" s="72" t="s">
        <v>60</v>
      </c>
      <c r="S15" s="73" t="s">
        <v>60</v>
      </c>
      <c r="T15" s="72" t="s">
        <v>60</v>
      </c>
      <c r="U15" s="72" t="s">
        <v>60</v>
      </c>
      <c r="V15" s="72" t="s">
        <v>60</v>
      </c>
    </row>
    <row r="16" spans="1:22" ht="25.5" x14ac:dyDescent="0.2">
      <c r="A16" t="s">
        <v>327</v>
      </c>
      <c r="B16" s="51" t="s">
        <v>33</v>
      </c>
      <c r="C16" s="324" t="s">
        <v>635</v>
      </c>
      <c r="D16" s="30" t="s">
        <v>688</v>
      </c>
      <c r="E16" s="114"/>
      <c r="F16" s="237"/>
      <c r="G16" s="107"/>
      <c r="H16" s="226" t="str">
        <f t="shared" ref="H16" si="6">HYPERLINK(CONCATENATE("http://garwiki.regn.net/mediawiki/index.php/Scorecard_Rule_",MID(A16,FIND(":",A16)+1,9)),"?")</f>
        <v>?</v>
      </c>
      <c r="I16" s="72" t="s">
        <v>60</v>
      </c>
      <c r="J16" s="72" t="s">
        <v>60</v>
      </c>
      <c r="K16" s="72"/>
      <c r="L16" s="72"/>
      <c r="M16" s="98" t="s">
        <v>60</v>
      </c>
      <c r="N16" s="98" t="s">
        <v>60</v>
      </c>
      <c r="O16" s="72" t="s">
        <v>60</v>
      </c>
      <c r="P16" s="72" t="s">
        <v>60</v>
      </c>
      <c r="Q16" s="72" t="s">
        <v>60</v>
      </c>
      <c r="R16" s="72" t="s">
        <v>60</v>
      </c>
      <c r="S16" s="72" t="s">
        <v>60</v>
      </c>
      <c r="T16" s="72" t="s">
        <v>60</v>
      </c>
      <c r="U16" s="72" t="s">
        <v>60</v>
      </c>
      <c r="V16" s="72" t="s">
        <v>60</v>
      </c>
    </row>
    <row r="17" spans="1:22" ht="38.25" x14ac:dyDescent="0.2">
      <c r="A17" s="160" t="s">
        <v>540</v>
      </c>
      <c r="B17" s="53" t="s">
        <v>33</v>
      </c>
      <c r="C17" s="324" t="s">
        <v>636</v>
      </c>
      <c r="D17" s="34" t="s">
        <v>539</v>
      </c>
      <c r="E17" s="105"/>
      <c r="F17" s="239"/>
      <c r="G17" s="107"/>
      <c r="H17" s="226" t="str">
        <f>HYPERLINK(CONCATENATE("http://garwiki.regn.net/mediawiki/index.php/Scorecard_Rule_",MID(A17,FIND(":",A17)+1,9)),"?")</f>
        <v>?</v>
      </c>
      <c r="I17" s="72" t="s">
        <v>60</v>
      </c>
      <c r="J17" s="72" t="s">
        <v>60</v>
      </c>
      <c r="K17" s="72"/>
      <c r="L17" s="72"/>
      <c r="M17" s="72" t="s">
        <v>60</v>
      </c>
      <c r="N17" s="72" t="s">
        <v>60</v>
      </c>
      <c r="O17" s="72" t="s">
        <v>60</v>
      </c>
      <c r="P17" s="72" t="s">
        <v>60</v>
      </c>
      <c r="Q17" s="72" t="s">
        <v>60</v>
      </c>
      <c r="R17" s="72" t="s">
        <v>60</v>
      </c>
      <c r="S17" s="72" t="s">
        <v>60</v>
      </c>
      <c r="T17" s="72" t="s">
        <v>60</v>
      </c>
      <c r="U17" s="72" t="s">
        <v>60</v>
      </c>
      <c r="V17" s="72" t="s">
        <v>60</v>
      </c>
    </row>
    <row r="18" spans="1:22" ht="38.25" x14ac:dyDescent="0.2">
      <c r="A18" t="s">
        <v>470</v>
      </c>
      <c r="B18" s="276" t="s">
        <v>33</v>
      </c>
      <c r="C18" s="324" t="s">
        <v>637</v>
      </c>
      <c r="D18" s="272" t="s">
        <v>461</v>
      </c>
      <c r="E18" s="273"/>
      <c r="F18" s="274"/>
      <c r="G18" s="275"/>
      <c r="H18" s="226" t="str">
        <f>HYPERLINK(CONCATENATE("http://garwiki.regn.net/mediawiki/index.php/Scorecard_Rule_",MID(A18,FIND(":",A18)+1,9)),"?")</f>
        <v>?</v>
      </c>
      <c r="I18" s="271" t="s">
        <v>60</v>
      </c>
      <c r="J18" s="271" t="s">
        <v>60</v>
      </c>
      <c r="K18" s="271"/>
      <c r="L18" s="271"/>
      <c r="M18" s="271"/>
      <c r="N18" s="271"/>
      <c r="O18" s="271"/>
      <c r="P18" s="271"/>
      <c r="Q18" s="271"/>
      <c r="R18" s="271"/>
      <c r="S18" s="271"/>
      <c r="T18" s="271"/>
      <c r="U18" s="271" t="s">
        <v>60</v>
      </c>
      <c r="V18" s="271" t="s">
        <v>60</v>
      </c>
    </row>
    <row r="19" spans="1:22" ht="38.25" x14ac:dyDescent="0.2">
      <c r="A19" s="160" t="s">
        <v>516</v>
      </c>
      <c r="B19" s="20" t="s">
        <v>33</v>
      </c>
      <c r="C19" s="324" t="s">
        <v>638</v>
      </c>
      <c r="D19" s="34" t="s">
        <v>532</v>
      </c>
      <c r="E19" s="105"/>
      <c r="F19" s="239"/>
      <c r="G19" s="107"/>
      <c r="H19" s="226" t="str">
        <f>HYPERLINK(CONCATENATE("http://garwiki.regn.net/mediawiki/index.php/Scorecard_Rule_",MID(A19,FIND(":",A19)+1,9)),"?")</f>
        <v>?</v>
      </c>
      <c r="I19" s="72" t="s">
        <v>60</v>
      </c>
      <c r="J19" s="73" t="s">
        <v>60</v>
      </c>
      <c r="K19" s="72"/>
      <c r="L19" s="73"/>
      <c r="M19" s="72" t="s">
        <v>60</v>
      </c>
      <c r="N19" s="72" t="s">
        <v>60</v>
      </c>
      <c r="O19" s="72" t="s">
        <v>60</v>
      </c>
      <c r="P19" s="72" t="s">
        <v>60</v>
      </c>
      <c r="Q19" s="72" t="s">
        <v>60</v>
      </c>
      <c r="R19" s="72" t="s">
        <v>60</v>
      </c>
      <c r="S19" s="72"/>
      <c r="T19" s="72"/>
      <c r="U19" s="72" t="s">
        <v>60</v>
      </c>
      <c r="V19" s="73" t="s">
        <v>60</v>
      </c>
    </row>
    <row r="20" spans="1:22" ht="76.5" x14ac:dyDescent="0.2">
      <c r="A20" t="s">
        <v>328</v>
      </c>
      <c r="B20" s="29" t="s">
        <v>33</v>
      </c>
      <c r="C20" s="38" t="s">
        <v>639</v>
      </c>
      <c r="D20" s="45" t="s">
        <v>694</v>
      </c>
      <c r="E20" s="106"/>
      <c r="F20" s="237"/>
      <c r="G20" s="107"/>
      <c r="H20" s="226" t="str">
        <f t="shared" si="5"/>
        <v>?</v>
      </c>
      <c r="I20" s="72" t="s">
        <v>60</v>
      </c>
      <c r="J20" s="73" t="s">
        <v>60</v>
      </c>
      <c r="K20" s="72"/>
      <c r="L20" s="73"/>
      <c r="M20" s="46" t="s">
        <v>60</v>
      </c>
      <c r="N20" s="46" t="s">
        <v>60</v>
      </c>
      <c r="O20" s="73" t="s">
        <v>60</v>
      </c>
      <c r="P20" s="73" t="s">
        <v>60</v>
      </c>
      <c r="Q20" s="73" t="s">
        <v>60</v>
      </c>
      <c r="R20" s="73" t="s">
        <v>60</v>
      </c>
      <c r="S20" s="73" t="s">
        <v>60</v>
      </c>
      <c r="T20" s="73" t="s">
        <v>60</v>
      </c>
      <c r="U20" s="72" t="s">
        <v>60</v>
      </c>
      <c r="V20" s="72" t="s">
        <v>60</v>
      </c>
    </row>
  </sheetData>
  <sheetProtection algorithmName="SHA-512" hashValue="suikjrKHLK/nFqbFGRFbiRBJYa/4dLNJpKnP9zO8uMh24SBkjzaDazpvP+nAlBWvkU17Q0a5/Zq7dHBK6DL2Ww==" saltValue="NP7Kqdo3kuqrhiGKFt+Fjw==" spinCount="100000" sheet="1" objects="1" scenarios="1" formatColumns="0" formatRows="0"/>
  <mergeCells count="13">
    <mergeCell ref="U2:V2"/>
    <mergeCell ref="S2:T2"/>
    <mergeCell ref="M2:N2"/>
    <mergeCell ref="B11:D11"/>
    <mergeCell ref="B6:D6"/>
    <mergeCell ref="D5:G5"/>
    <mergeCell ref="D10:G10"/>
    <mergeCell ref="K2:L2"/>
    <mergeCell ref="D1:G1"/>
    <mergeCell ref="B2:D2"/>
    <mergeCell ref="I2:J2"/>
    <mergeCell ref="O2:P2"/>
    <mergeCell ref="Q2:R2"/>
  </mergeCells>
  <phoneticPr fontId="2" type="noConversion"/>
  <conditionalFormatting sqref="E2:E16 E20">
    <cfRule type="cellIs" dxfId="79" priority="31" stopIfTrue="1" operator="equal">
      <formula>"Yes-N/A"</formula>
    </cfRule>
    <cfRule type="cellIs" dxfId="78" priority="77" stopIfTrue="1" operator="equal">
      <formula>"Y"</formula>
    </cfRule>
    <cfRule type="cellIs" dxfId="77" priority="78" stopIfTrue="1" operator="equal">
      <formula>"N/A"</formula>
    </cfRule>
    <cfRule type="cellIs" dxfId="76" priority="79" stopIfTrue="1" operator="equal">
      <formula>"R"</formula>
    </cfRule>
    <cfRule type="cellIs" dxfId="75" priority="80" stopIfTrue="1" operator="equal">
      <formula>"G"</formula>
    </cfRule>
    <cfRule type="cellIs" dxfId="74" priority="81" stopIfTrue="1" operator="equal">
      <formula>"WVR"</formula>
    </cfRule>
    <cfRule type="cellIs" dxfId="73" priority="82" stopIfTrue="1" operator="equal">
      <formula>"T-WVR"</formula>
    </cfRule>
    <cfRule type="cellIs" dxfId="72" priority="84" stopIfTrue="1" operator="equal">
      <formula>"P-WVR"</formula>
    </cfRule>
    <cfRule type="cellIs" dxfId="71" priority="85" stopIfTrue="1" operator="equal">
      <formula>"No"</formula>
    </cfRule>
    <cfRule type="cellIs" dxfId="70" priority="86" stopIfTrue="1" operator="equal">
      <formula>"Yes"</formula>
    </cfRule>
  </conditionalFormatting>
  <conditionalFormatting sqref="E17">
    <cfRule type="cellIs" dxfId="69" priority="21" stopIfTrue="1" operator="equal">
      <formula>"Yes-N/A"</formula>
    </cfRule>
    <cfRule type="cellIs" dxfId="68" priority="22" stopIfTrue="1" operator="equal">
      <formula>"Y"</formula>
    </cfRule>
    <cfRule type="cellIs" dxfId="67" priority="23" stopIfTrue="1" operator="equal">
      <formula>"N/A"</formula>
    </cfRule>
    <cfRule type="cellIs" dxfId="66" priority="24" stopIfTrue="1" operator="equal">
      <formula>"WVR"</formula>
    </cfRule>
    <cfRule type="cellIs" dxfId="65" priority="25" stopIfTrue="1" operator="equal">
      <formula>"R"</formula>
    </cfRule>
    <cfRule type="cellIs" dxfId="64" priority="26" stopIfTrue="1" operator="equal">
      <formula>"G"</formula>
    </cfRule>
    <cfRule type="cellIs" dxfId="63" priority="27" stopIfTrue="1" operator="equal">
      <formula>"T-WVR"</formula>
    </cfRule>
    <cfRule type="cellIs" dxfId="62" priority="28" stopIfTrue="1" operator="equal">
      <formula>"P-WVR"</formula>
    </cfRule>
    <cfRule type="cellIs" dxfId="61" priority="29" stopIfTrue="1" operator="equal">
      <formula>"No"</formula>
    </cfRule>
    <cfRule type="cellIs" dxfId="60" priority="30" stopIfTrue="1" operator="equal">
      <formula>"Yes"</formula>
    </cfRule>
  </conditionalFormatting>
  <conditionalFormatting sqref="E18">
    <cfRule type="cellIs" dxfId="59" priority="11" stopIfTrue="1" operator="equal">
      <formula>"Yes-N/A"</formula>
    </cfRule>
    <cfRule type="cellIs" dxfId="58" priority="12" stopIfTrue="1" operator="equal">
      <formula>"Y"</formula>
    </cfRule>
    <cfRule type="cellIs" dxfId="57" priority="13" stopIfTrue="1" operator="equal">
      <formula>"N/A"</formula>
    </cfRule>
    <cfRule type="cellIs" dxfId="56" priority="14" stopIfTrue="1" operator="equal">
      <formula>"WVR"</formula>
    </cfRule>
    <cfRule type="cellIs" dxfId="55" priority="15" stopIfTrue="1" operator="equal">
      <formula>"R"</formula>
    </cfRule>
    <cfRule type="cellIs" dxfId="54" priority="16" stopIfTrue="1" operator="equal">
      <formula>"G"</formula>
    </cfRule>
    <cfRule type="cellIs" dxfId="53" priority="17" stopIfTrue="1" operator="equal">
      <formula>"T-WVR"</formula>
    </cfRule>
    <cfRule type="cellIs" dxfId="52" priority="18" stopIfTrue="1" operator="equal">
      <formula>"P-WVR"</formula>
    </cfRule>
    <cfRule type="cellIs" dxfId="51" priority="19" stopIfTrue="1" operator="equal">
      <formula>"No"</formula>
    </cfRule>
    <cfRule type="cellIs" dxfId="50" priority="20" stopIfTrue="1" operator="equal">
      <formula>"Yes"</formula>
    </cfRule>
  </conditionalFormatting>
  <conditionalFormatting sqref="E19">
    <cfRule type="cellIs" dxfId="49" priority="1" stopIfTrue="1" operator="equal">
      <formula>"Yes-N/A"</formula>
    </cfRule>
    <cfRule type="cellIs" dxfId="48" priority="2" stopIfTrue="1" operator="equal">
      <formula>"Y"</formula>
    </cfRule>
    <cfRule type="cellIs" dxfId="47" priority="3" stopIfTrue="1" operator="equal">
      <formula>"N/A"</formula>
    </cfRule>
    <cfRule type="cellIs" dxfId="46" priority="4" stopIfTrue="1" operator="equal">
      <formula>"WVR"</formula>
    </cfRule>
    <cfRule type="cellIs" dxfId="45" priority="5" stopIfTrue="1" operator="equal">
      <formula>"R"</formula>
    </cfRule>
    <cfRule type="cellIs" dxfId="44" priority="6" stopIfTrue="1" operator="equal">
      <formula>"G"</formula>
    </cfRule>
    <cfRule type="cellIs" dxfId="43" priority="7" stopIfTrue="1" operator="equal">
      <formula>"T-WVR"</formula>
    </cfRule>
    <cfRule type="cellIs" dxfId="42" priority="8" stopIfTrue="1" operator="equal">
      <formula>"P-WVR"</formula>
    </cfRule>
    <cfRule type="cellIs" dxfId="41" priority="9" stopIfTrue="1" operator="equal">
      <formula>"No"</formula>
    </cfRule>
    <cfRule type="cellIs" dxfId="40" priority="10" stopIfTrue="1" operator="equal">
      <formula>"Yes"</formula>
    </cfRule>
  </conditionalFormatting>
  <dataValidations count="4">
    <dataValidation type="list" allowBlank="1" showInputMessage="1" showErrorMessage="1" sqref="E7:E9 E12:E20">
      <formula1>ValidValues</formula1>
    </dataValidation>
    <dataValidation type="list" allowBlank="1" showInputMessage="1" showErrorMessage="1" sqref="E11 E6">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0">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fitToPage="1"/>
  </sheetPr>
  <dimension ref="A1:V26"/>
  <sheetViews>
    <sheetView zoomScaleNormal="100" workbookViewId="0">
      <pane ySplit="4" topLeftCell="A5" activePane="bottomLeft" state="frozen"/>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9" width="3.5703125" customWidth="1"/>
    <col min="10" max="10" width="4.140625" customWidth="1"/>
    <col min="11" max="11" width="3.5703125" customWidth="1"/>
    <col min="12" max="13" width="4.140625" customWidth="1"/>
    <col min="14" max="14" width="4.28515625" customWidth="1"/>
    <col min="15" max="20" width="4.140625" customWidth="1"/>
    <col min="21" max="21" width="3.5703125" customWidth="1"/>
    <col min="22" max="22" width="4.140625" customWidth="1"/>
  </cols>
  <sheetData>
    <row r="1" spans="1:22" ht="18" x14ac:dyDescent="0.2">
      <c r="A1" t="s">
        <v>370</v>
      </c>
      <c r="B1" s="302" t="s">
        <v>59</v>
      </c>
      <c r="C1" s="303">
        <v>4</v>
      </c>
      <c r="D1" s="470" t="s">
        <v>410</v>
      </c>
      <c r="E1" s="471"/>
      <c r="F1" s="471"/>
      <c r="G1" s="472"/>
      <c r="H1" s="226" t="str">
        <f>HYPERLINK(CONCATENATE("http://garwiki.regn.net/mediawiki/index.php/",SUBSTITUTE(D1," ","_"),"_(principle)"),"?")</f>
        <v>?</v>
      </c>
      <c r="I1" s="96" t="s">
        <v>98</v>
      </c>
      <c r="J1" s="96" t="s">
        <v>99</v>
      </c>
      <c r="K1" s="96" t="s">
        <v>98</v>
      </c>
      <c r="L1" s="96" t="s">
        <v>99</v>
      </c>
      <c r="M1" s="96" t="s">
        <v>98</v>
      </c>
      <c r="N1" s="96" t="s">
        <v>99</v>
      </c>
      <c r="O1" s="96" t="s">
        <v>98</v>
      </c>
      <c r="P1" s="96" t="s">
        <v>99</v>
      </c>
      <c r="Q1" s="96" t="s">
        <v>98</v>
      </c>
      <c r="R1" s="96" t="s">
        <v>99</v>
      </c>
      <c r="S1" s="96" t="s">
        <v>98</v>
      </c>
      <c r="T1" s="96" t="s">
        <v>99</v>
      </c>
      <c r="U1" s="96" t="s">
        <v>98</v>
      </c>
      <c r="V1" s="96" t="s">
        <v>99</v>
      </c>
    </row>
    <row r="2" spans="1:22" ht="49.5" customHeight="1" x14ac:dyDescent="0.2">
      <c r="B2" s="468" t="s">
        <v>583</v>
      </c>
      <c r="C2" s="468"/>
      <c r="D2" s="468"/>
      <c r="E2" s="106"/>
      <c r="F2" s="235" t="s">
        <v>20</v>
      </c>
      <c r="G2" s="210"/>
      <c r="H2" s="104"/>
      <c r="I2" s="473" t="s">
        <v>480</v>
      </c>
      <c r="J2" s="473"/>
      <c r="K2" s="473" t="s">
        <v>481</v>
      </c>
      <c r="L2" s="473"/>
      <c r="M2" s="473" t="s">
        <v>388</v>
      </c>
      <c r="N2" s="473"/>
      <c r="O2" s="473" t="s">
        <v>389</v>
      </c>
      <c r="P2" s="473"/>
      <c r="Q2" s="473" t="s">
        <v>390</v>
      </c>
      <c r="R2" s="473"/>
      <c r="S2" s="473" t="s">
        <v>391</v>
      </c>
      <c r="T2" s="473"/>
      <c r="U2" s="473" t="s">
        <v>538</v>
      </c>
      <c r="V2" s="473"/>
    </row>
    <row r="3" spans="1:22" ht="13.5" thickBot="1" x14ac:dyDescent="0.25">
      <c r="C3" s="3"/>
      <c r="E3" s="57"/>
      <c r="F3" s="62"/>
      <c r="H3" s="104"/>
      <c r="I3" s="73"/>
      <c r="J3" s="73"/>
      <c r="K3" s="73"/>
      <c r="L3" s="73"/>
      <c r="M3" s="176"/>
      <c r="N3" s="176"/>
      <c r="O3" s="73"/>
      <c r="P3" s="73"/>
      <c r="Q3" s="73"/>
      <c r="R3" s="73"/>
      <c r="S3" s="73"/>
      <c r="T3" s="73"/>
      <c r="U3" s="73"/>
      <c r="V3" s="73"/>
    </row>
    <row r="4" spans="1:22" ht="25.5" x14ac:dyDescent="0.2">
      <c r="B4" s="121" t="s">
        <v>31</v>
      </c>
      <c r="C4" s="33" t="s">
        <v>32</v>
      </c>
      <c r="D4" s="33" t="s">
        <v>23</v>
      </c>
      <c r="E4" s="39" t="s">
        <v>12</v>
      </c>
      <c r="F4" s="122" t="s">
        <v>24</v>
      </c>
      <c r="G4" s="195" t="s">
        <v>215</v>
      </c>
      <c r="H4" s="104"/>
      <c r="I4" s="72" t="s">
        <v>60</v>
      </c>
      <c r="J4" s="73" t="s">
        <v>60</v>
      </c>
      <c r="K4" s="72" t="s">
        <v>60</v>
      </c>
      <c r="L4" s="73" t="s">
        <v>60</v>
      </c>
      <c r="M4" s="176" t="s">
        <v>60</v>
      </c>
      <c r="N4" s="176" t="s">
        <v>60</v>
      </c>
      <c r="O4" s="72" t="s">
        <v>60</v>
      </c>
      <c r="P4" s="73" t="s">
        <v>60</v>
      </c>
      <c r="Q4" s="72" t="s">
        <v>60</v>
      </c>
      <c r="R4" s="73" t="s">
        <v>60</v>
      </c>
      <c r="S4" s="72" t="s">
        <v>60</v>
      </c>
      <c r="T4" s="73" t="s">
        <v>60</v>
      </c>
      <c r="U4" s="72" t="s">
        <v>60</v>
      </c>
      <c r="V4" s="73" t="s">
        <v>60</v>
      </c>
    </row>
    <row r="5" spans="1:22" x14ac:dyDescent="0.2">
      <c r="A5" t="s">
        <v>371</v>
      </c>
      <c r="B5" s="95" t="s">
        <v>59</v>
      </c>
      <c r="C5" s="321" t="s">
        <v>181</v>
      </c>
      <c r="D5" s="465" t="s">
        <v>411</v>
      </c>
      <c r="E5" s="466"/>
      <c r="F5" s="466"/>
      <c r="G5" s="467"/>
      <c r="H5" s="226" t="str">
        <f>HYPERLINK(CONCATENATE("http://garwiki.regn.net/mediawiki/index.php/",SUBSTITUTE(D5," ","_"),"_(golden_rule)"),"?")</f>
        <v>?</v>
      </c>
      <c r="I5" s="94" t="str">
        <f>I6</f>
        <v>x</v>
      </c>
      <c r="J5" s="94" t="str">
        <f t="shared" ref="J5:V5" si="0">J6</f>
        <v>x</v>
      </c>
      <c r="K5" s="94" t="str">
        <f>K6</f>
        <v>x</v>
      </c>
      <c r="L5" s="94" t="str">
        <f t="shared" si="0"/>
        <v>x</v>
      </c>
      <c r="M5" s="94" t="str">
        <f t="shared" si="0"/>
        <v/>
      </c>
      <c r="N5" s="94" t="str">
        <f t="shared" si="0"/>
        <v/>
      </c>
      <c r="O5" s="94" t="str">
        <f t="shared" si="0"/>
        <v>x</v>
      </c>
      <c r="P5" s="94" t="str">
        <f t="shared" si="0"/>
        <v>x</v>
      </c>
      <c r="Q5" s="94" t="str">
        <f t="shared" si="0"/>
        <v/>
      </c>
      <c r="R5" s="94" t="str">
        <f t="shared" si="0"/>
        <v/>
      </c>
      <c r="S5" s="94" t="str">
        <f t="shared" si="0"/>
        <v/>
      </c>
      <c r="T5" s="94" t="str">
        <f t="shared" si="0"/>
        <v/>
      </c>
      <c r="U5" s="94" t="str">
        <f>U6</f>
        <v>x</v>
      </c>
      <c r="V5" s="94" t="str">
        <f t="shared" si="0"/>
        <v>x</v>
      </c>
    </row>
    <row r="6" spans="1:22" x14ac:dyDescent="0.2">
      <c r="B6" s="474" t="s">
        <v>642</v>
      </c>
      <c r="C6" s="475"/>
      <c r="D6" s="476"/>
      <c r="E6" s="106"/>
      <c r="F6" s="241" t="s">
        <v>20</v>
      </c>
      <c r="G6" s="119"/>
      <c r="H6" s="104"/>
      <c r="I6" s="72" t="str">
        <f>IF(COUNTIF(I7:I10,"x")=0,"","x")</f>
        <v>x</v>
      </c>
      <c r="J6" s="72" t="str">
        <f t="shared" ref="J6:T6" si="1">IF(COUNTIF(J7:J10,"x")=0,"","x")</f>
        <v>x</v>
      </c>
      <c r="K6" s="72" t="str">
        <f t="shared" si="1"/>
        <v>x</v>
      </c>
      <c r="L6" s="72" t="str">
        <f t="shared" si="1"/>
        <v>x</v>
      </c>
      <c r="M6" s="72" t="str">
        <f t="shared" si="1"/>
        <v/>
      </c>
      <c r="N6" s="72" t="str">
        <f t="shared" si="1"/>
        <v/>
      </c>
      <c r="O6" s="72" t="str">
        <f t="shared" si="1"/>
        <v>x</v>
      </c>
      <c r="P6" s="72" t="str">
        <f t="shared" si="1"/>
        <v>x</v>
      </c>
      <c r="Q6" s="72" t="str">
        <f t="shared" si="1"/>
        <v/>
      </c>
      <c r="R6" s="72" t="str">
        <f t="shared" si="1"/>
        <v/>
      </c>
      <c r="S6" s="72" t="str">
        <f t="shared" si="1"/>
        <v/>
      </c>
      <c r="T6" s="72" t="str">
        <f t="shared" si="1"/>
        <v/>
      </c>
      <c r="U6" s="72" t="str">
        <f>IF(COUNTIF(U7:U10,"x")=0,"","x")</f>
        <v>x</v>
      </c>
      <c r="V6" s="72" t="str">
        <f t="shared" ref="V6" si="2">IF(COUNTIF(V7:V10,"x")=0,"","x")</f>
        <v>x</v>
      </c>
    </row>
    <row r="7" spans="1:22" ht="25.5" x14ac:dyDescent="0.2">
      <c r="A7" t="s">
        <v>372</v>
      </c>
      <c r="B7" s="31" t="s">
        <v>33</v>
      </c>
      <c r="C7" s="322" t="s">
        <v>36</v>
      </c>
      <c r="D7" s="5" t="s">
        <v>643</v>
      </c>
      <c r="E7" s="106"/>
      <c r="F7" s="237"/>
      <c r="G7" s="120"/>
      <c r="H7" s="226" t="str">
        <f>HYPERLINK(CONCATENATE("http://garwiki.regn.net/mediawiki/index.php/Scorecard_Rule_",MID(A7,FIND(":",A7)+1,9)),"?")</f>
        <v>?</v>
      </c>
      <c r="I7" s="72" t="s">
        <v>60</v>
      </c>
      <c r="J7" s="72" t="s">
        <v>60</v>
      </c>
      <c r="K7" s="72"/>
      <c r="L7" s="72"/>
      <c r="M7" s="176"/>
      <c r="N7" s="176"/>
      <c r="O7" s="72"/>
      <c r="P7" s="72"/>
      <c r="Q7" s="72"/>
      <c r="R7" s="72"/>
      <c r="S7" s="72"/>
      <c r="T7" s="72"/>
      <c r="U7" s="72" t="s">
        <v>60</v>
      </c>
      <c r="V7" s="72" t="s">
        <v>60</v>
      </c>
    </row>
    <row r="8" spans="1:22" ht="38.25" x14ac:dyDescent="0.2">
      <c r="A8" t="s">
        <v>373</v>
      </c>
      <c r="B8" s="35" t="s">
        <v>33</v>
      </c>
      <c r="C8" s="322" t="s">
        <v>396</v>
      </c>
      <c r="D8" s="5" t="s">
        <v>644</v>
      </c>
      <c r="E8" s="106"/>
      <c r="F8" s="237"/>
      <c r="G8" s="120"/>
      <c r="H8" s="226" t="str">
        <f>HYPERLINK(CONCATENATE("http://garwiki.regn.net/mediawiki/index.php/Scorecard_Rule_",MID(A8,FIND(":",A8)+1,9)),"?")</f>
        <v>?</v>
      </c>
      <c r="I8" s="72" t="s">
        <v>60</v>
      </c>
      <c r="J8" s="72" t="s">
        <v>60</v>
      </c>
      <c r="K8" s="72" t="s">
        <v>60</v>
      </c>
      <c r="L8" s="72" t="s">
        <v>60</v>
      </c>
      <c r="M8" s="295"/>
      <c r="N8" s="295"/>
      <c r="O8" s="72"/>
      <c r="P8" s="72"/>
      <c r="Q8" s="72"/>
      <c r="R8" s="72"/>
      <c r="S8" s="72"/>
      <c r="T8" s="72"/>
      <c r="U8" s="72" t="s">
        <v>60</v>
      </c>
      <c r="V8" s="72" t="s">
        <v>60</v>
      </c>
    </row>
    <row r="9" spans="1:22" ht="51" x14ac:dyDescent="0.2">
      <c r="A9" s="160" t="s">
        <v>578</v>
      </c>
      <c r="B9" s="35" t="s">
        <v>33</v>
      </c>
      <c r="C9" s="322" t="s">
        <v>458</v>
      </c>
      <c r="D9" s="5" t="s">
        <v>645</v>
      </c>
      <c r="E9" s="106"/>
      <c r="F9" s="237"/>
      <c r="G9" s="120"/>
      <c r="H9" s="226" t="str">
        <f>HYPERLINK(CONCATENATE("http://garwiki.regn.net/mediawiki/index.php/Scorecard_Rule_",MID(A9,FIND(":",A9)+1,9)),"?")</f>
        <v>?</v>
      </c>
      <c r="I9" s="72" t="s">
        <v>60</v>
      </c>
      <c r="J9" s="72" t="s">
        <v>60</v>
      </c>
      <c r="K9" s="72" t="s">
        <v>60</v>
      </c>
      <c r="L9" s="72" t="s">
        <v>60</v>
      </c>
      <c r="M9" s="295"/>
      <c r="N9" s="295"/>
      <c r="O9" s="72" t="s">
        <v>60</v>
      </c>
      <c r="P9" s="72" t="s">
        <v>60</v>
      </c>
      <c r="Q9" s="72"/>
      <c r="R9" s="72"/>
      <c r="S9" s="72"/>
      <c r="T9" s="72"/>
      <c r="U9" s="72" t="s">
        <v>60</v>
      </c>
      <c r="V9" s="72" t="s">
        <v>60</v>
      </c>
    </row>
    <row r="10" spans="1:22" ht="51" x14ac:dyDescent="0.2">
      <c r="A10" s="160" t="s">
        <v>577</v>
      </c>
      <c r="B10" s="35" t="s">
        <v>33</v>
      </c>
      <c r="C10" s="322" t="s">
        <v>462</v>
      </c>
      <c r="D10" s="5" t="s">
        <v>579</v>
      </c>
      <c r="E10" s="106"/>
      <c r="F10" s="237"/>
      <c r="G10" s="120"/>
      <c r="H10" s="226" t="str">
        <f>HYPERLINK(CONCATENATE("http://garwiki.regn.net/mediawiki/index.php/Scorecard_Rule_",MID(A10,FIND(":",A10)+1,9)),"?")</f>
        <v>?</v>
      </c>
      <c r="I10" s="72" t="s">
        <v>60</v>
      </c>
      <c r="J10" s="72" t="s">
        <v>60</v>
      </c>
      <c r="K10" s="72" t="s">
        <v>60</v>
      </c>
      <c r="L10" s="72" t="s">
        <v>60</v>
      </c>
      <c r="M10" s="176"/>
      <c r="N10" s="176"/>
      <c r="O10" s="72" t="s">
        <v>60</v>
      </c>
      <c r="P10" s="72" t="s">
        <v>60</v>
      </c>
      <c r="Q10" s="72"/>
      <c r="R10" s="72"/>
      <c r="S10" s="72"/>
      <c r="T10" s="72"/>
      <c r="U10" s="72" t="s">
        <v>60</v>
      </c>
      <c r="V10" s="72" t="s">
        <v>60</v>
      </c>
    </row>
    <row r="11" spans="1:22" x14ac:dyDescent="0.2">
      <c r="A11" t="s">
        <v>374</v>
      </c>
      <c r="B11" s="95" t="s">
        <v>59</v>
      </c>
      <c r="C11" s="321" t="s">
        <v>182</v>
      </c>
      <c r="D11" s="465" t="s">
        <v>412</v>
      </c>
      <c r="E11" s="466"/>
      <c r="F11" s="466"/>
      <c r="G11" s="467"/>
      <c r="H11" s="226" t="str">
        <f>HYPERLINK(CONCATENATE("http://garwiki.regn.net/mediawiki/index.php/",SUBSTITUTE(D11," ","_"),"_(golden_rule)"),"?")</f>
        <v>?</v>
      </c>
      <c r="I11" s="94" t="str">
        <f>I12</f>
        <v>x</v>
      </c>
      <c r="J11" s="94" t="str">
        <f t="shared" ref="J11:V11" si="3">J12</f>
        <v>x</v>
      </c>
      <c r="K11" s="94" t="str">
        <f>K12</f>
        <v>x</v>
      </c>
      <c r="L11" s="94" t="str">
        <f t="shared" si="3"/>
        <v>x</v>
      </c>
      <c r="M11" s="94" t="str">
        <f t="shared" si="3"/>
        <v/>
      </c>
      <c r="N11" s="94" t="str">
        <f t="shared" si="3"/>
        <v/>
      </c>
      <c r="O11" s="94" t="str">
        <f t="shared" si="3"/>
        <v/>
      </c>
      <c r="P11" s="94" t="str">
        <f t="shared" si="3"/>
        <v/>
      </c>
      <c r="Q11" s="94" t="str">
        <f t="shared" si="3"/>
        <v/>
      </c>
      <c r="R11" s="94" t="str">
        <f t="shared" si="3"/>
        <v/>
      </c>
      <c r="S11" s="94" t="str">
        <f t="shared" si="3"/>
        <v/>
      </c>
      <c r="T11" s="94" t="str">
        <f t="shared" si="3"/>
        <v/>
      </c>
      <c r="U11" s="94" t="str">
        <f>U12</f>
        <v>x</v>
      </c>
      <c r="V11" s="94" t="str">
        <f t="shared" si="3"/>
        <v>x</v>
      </c>
    </row>
    <row r="12" spans="1:22" x14ac:dyDescent="0.2">
      <c r="B12" s="474" t="s">
        <v>382</v>
      </c>
      <c r="C12" s="475"/>
      <c r="D12" s="476"/>
      <c r="E12" s="106"/>
      <c r="F12" s="241" t="s">
        <v>20</v>
      </c>
      <c r="G12" s="119"/>
      <c r="H12" s="226"/>
      <c r="I12" s="72" t="str">
        <f>IF(COUNTIF(I13:I14,"x")=0,"","x")</f>
        <v>x</v>
      </c>
      <c r="J12" s="72" t="str">
        <f t="shared" ref="J12" si="4">IF(COUNTIF(J13:J14,"x")=0,"","x")</f>
        <v>x</v>
      </c>
      <c r="K12" s="72" t="str">
        <f t="shared" ref="K12" si="5">IF(COUNTIF(K13:K14,"x")=0,"","x")</f>
        <v>x</v>
      </c>
      <c r="L12" s="72" t="str">
        <f t="shared" ref="L12" si="6">IF(COUNTIF(L13:L14,"x")=0,"","x")</f>
        <v>x</v>
      </c>
      <c r="M12" s="72" t="str">
        <f t="shared" ref="M12" si="7">IF(COUNTIF(M13:M14,"x")=0,"","x")</f>
        <v/>
      </c>
      <c r="N12" s="72" t="str">
        <f t="shared" ref="N12" si="8">IF(COUNTIF(N13:N14,"x")=0,"","x")</f>
        <v/>
      </c>
      <c r="O12" s="72" t="str">
        <f t="shared" ref="O12" si="9">IF(COUNTIF(O13:O14,"x")=0,"","x")</f>
        <v/>
      </c>
      <c r="P12" s="72" t="str">
        <f t="shared" ref="P12" si="10">IF(COUNTIF(P13:P14,"x")=0,"","x")</f>
        <v/>
      </c>
      <c r="Q12" s="72" t="str">
        <f t="shared" ref="Q12" si="11">IF(COUNTIF(Q13:Q14,"x")=0,"","x")</f>
        <v/>
      </c>
      <c r="R12" s="72" t="str">
        <f t="shared" ref="R12" si="12">IF(COUNTIF(R13:R14,"x")=0,"","x")</f>
        <v/>
      </c>
      <c r="S12" s="72" t="str">
        <f t="shared" ref="S12" si="13">IF(COUNTIF(S13:S14,"x")=0,"","x")</f>
        <v/>
      </c>
      <c r="T12" s="72" t="str">
        <f t="shared" ref="T12" si="14">IF(COUNTIF(T13:T14,"x")=0,"","x")</f>
        <v/>
      </c>
      <c r="U12" s="72" t="str">
        <f>IF(COUNTIF(U13:U14,"x")=0,"","x")</f>
        <v>x</v>
      </c>
      <c r="V12" s="72" t="str">
        <f t="shared" ref="V12" si="15">IF(COUNTIF(V13:V14,"x")=0,"","x")</f>
        <v>x</v>
      </c>
    </row>
    <row r="13" spans="1:22" ht="51" x14ac:dyDescent="0.2">
      <c r="A13" t="s">
        <v>375</v>
      </c>
      <c r="B13" s="31" t="s">
        <v>33</v>
      </c>
      <c r="C13" s="322" t="s">
        <v>26</v>
      </c>
      <c r="D13" s="5" t="s">
        <v>383</v>
      </c>
      <c r="E13" s="106"/>
      <c r="F13" s="237"/>
      <c r="G13" s="120"/>
      <c r="H13" s="226" t="str">
        <f t="shared" ref="H13:H14" si="16">HYPERLINK(CONCATENATE("http://garwiki.regn.net/mediawiki/index.php/Scorecard_Rule_",MID(A13,FIND(":",A13)+1,9)),"?")</f>
        <v>?</v>
      </c>
      <c r="I13" s="72" t="s">
        <v>60</v>
      </c>
      <c r="J13" s="72" t="s">
        <v>60</v>
      </c>
      <c r="K13" s="72" t="s">
        <v>60</v>
      </c>
      <c r="L13" s="72" t="s">
        <v>60</v>
      </c>
      <c r="M13" s="176"/>
      <c r="N13" s="98"/>
      <c r="O13" s="72"/>
      <c r="P13" s="72"/>
      <c r="Q13" s="72"/>
      <c r="R13" s="72"/>
      <c r="S13" s="72"/>
      <c r="T13" s="72"/>
      <c r="U13" s="72" t="s">
        <v>60</v>
      </c>
      <c r="V13" s="72" t="s">
        <v>60</v>
      </c>
    </row>
    <row r="14" spans="1:22" ht="38.25" x14ac:dyDescent="0.2">
      <c r="A14" t="s">
        <v>376</v>
      </c>
      <c r="B14" s="31" t="s">
        <v>33</v>
      </c>
      <c r="C14" s="322" t="s">
        <v>185</v>
      </c>
      <c r="D14" s="5" t="s">
        <v>384</v>
      </c>
      <c r="E14" s="106"/>
      <c r="F14" s="237"/>
      <c r="G14" s="120"/>
      <c r="H14" s="226" t="str">
        <f t="shared" si="16"/>
        <v>?</v>
      </c>
      <c r="I14" s="72" t="s">
        <v>60</v>
      </c>
      <c r="J14" s="72" t="s">
        <v>60</v>
      </c>
      <c r="K14" s="72" t="s">
        <v>60</v>
      </c>
      <c r="L14" s="72" t="s">
        <v>60</v>
      </c>
      <c r="M14" s="176"/>
      <c r="N14" s="176"/>
      <c r="O14" s="72"/>
      <c r="P14" s="72"/>
      <c r="Q14" s="72"/>
      <c r="R14" s="72"/>
      <c r="S14" s="72"/>
      <c r="T14" s="72"/>
      <c r="U14" s="72" t="s">
        <v>60</v>
      </c>
      <c r="V14" s="72" t="s">
        <v>60</v>
      </c>
    </row>
    <row r="15" spans="1:22" x14ac:dyDescent="0.2">
      <c r="A15" t="s">
        <v>377</v>
      </c>
      <c r="B15" s="95" t="s">
        <v>59</v>
      </c>
      <c r="C15" s="321" t="s">
        <v>499</v>
      </c>
      <c r="D15" s="494" t="s">
        <v>413</v>
      </c>
      <c r="E15" s="495"/>
      <c r="F15" s="495"/>
      <c r="G15" s="496"/>
      <c r="H15" s="226" t="str">
        <f>HYPERLINK(CONCATENATE("http://garwiki.regn.net/mediawiki/index.php/",SUBSTITUTE(D15," ","_"),"_(golden_rule)"),"?")</f>
        <v>?</v>
      </c>
      <c r="I15" s="94" t="str">
        <f>I16</f>
        <v>x</v>
      </c>
      <c r="J15" s="94" t="str">
        <f t="shared" ref="J15:V15" si="17">J16</f>
        <v>x</v>
      </c>
      <c r="K15" s="94" t="str">
        <f>K16</f>
        <v>x</v>
      </c>
      <c r="L15" s="94" t="str">
        <f t="shared" si="17"/>
        <v>x</v>
      </c>
      <c r="M15" s="94" t="str">
        <f t="shared" si="17"/>
        <v/>
      </c>
      <c r="N15" s="94" t="str">
        <f t="shared" si="17"/>
        <v/>
      </c>
      <c r="O15" s="94" t="str">
        <f t="shared" si="17"/>
        <v/>
      </c>
      <c r="P15" s="94" t="str">
        <f t="shared" si="17"/>
        <v/>
      </c>
      <c r="Q15" s="94" t="str">
        <f t="shared" si="17"/>
        <v/>
      </c>
      <c r="R15" s="94" t="str">
        <f t="shared" si="17"/>
        <v/>
      </c>
      <c r="S15" s="94" t="str">
        <f t="shared" si="17"/>
        <v/>
      </c>
      <c r="T15" s="94" t="str">
        <f t="shared" si="17"/>
        <v/>
      </c>
      <c r="U15" s="94" t="str">
        <f>U16</f>
        <v>x</v>
      </c>
      <c r="V15" s="94" t="str">
        <f t="shared" si="17"/>
        <v>x</v>
      </c>
    </row>
    <row r="16" spans="1:22" x14ac:dyDescent="0.2">
      <c r="B16" s="474" t="s">
        <v>385</v>
      </c>
      <c r="C16" s="475"/>
      <c r="D16" s="476"/>
      <c r="E16" s="106"/>
      <c r="F16" s="241" t="s">
        <v>20</v>
      </c>
      <c r="G16" s="119"/>
      <c r="H16" s="226"/>
      <c r="I16" s="72" t="str">
        <f>IF(COUNTIF(I17:I18,"x")=0,"","x")</f>
        <v>x</v>
      </c>
      <c r="J16" s="72" t="str">
        <f t="shared" ref="J16" si="18">IF(COUNTIF(J17:J18,"x")=0,"","x")</f>
        <v>x</v>
      </c>
      <c r="K16" s="72" t="str">
        <f t="shared" ref="K16" si="19">IF(COUNTIF(K17:K18,"x")=0,"","x")</f>
        <v>x</v>
      </c>
      <c r="L16" s="72" t="str">
        <f t="shared" ref="L16" si="20">IF(COUNTIF(L17:L18,"x")=0,"","x")</f>
        <v>x</v>
      </c>
      <c r="M16" s="72" t="str">
        <f t="shared" ref="M16" si="21">IF(COUNTIF(M17:M18,"x")=0,"","x")</f>
        <v/>
      </c>
      <c r="N16" s="72" t="str">
        <f t="shared" ref="N16" si="22">IF(COUNTIF(N17:N18,"x")=0,"","x")</f>
        <v/>
      </c>
      <c r="O16" s="72" t="str">
        <f t="shared" ref="O16" si="23">IF(COUNTIF(O17:O18,"x")=0,"","x")</f>
        <v/>
      </c>
      <c r="P16" s="72" t="str">
        <f t="shared" ref="P16" si="24">IF(COUNTIF(P17:P18,"x")=0,"","x")</f>
        <v/>
      </c>
      <c r="Q16" s="72" t="str">
        <f t="shared" ref="Q16" si="25">IF(COUNTIF(Q17:Q18,"x")=0,"","x")</f>
        <v/>
      </c>
      <c r="R16" s="72" t="str">
        <f t="shared" ref="R16" si="26">IF(COUNTIF(R17:R18,"x")=0,"","x")</f>
        <v/>
      </c>
      <c r="S16" s="72" t="str">
        <f t="shared" ref="S16" si="27">IF(COUNTIF(S17:S18,"x")=0,"","x")</f>
        <v/>
      </c>
      <c r="T16" s="72" t="str">
        <f t="shared" ref="T16" si="28">IF(COUNTIF(T17:T18,"x")=0,"","x")</f>
        <v/>
      </c>
      <c r="U16" s="72" t="str">
        <f>IF(COUNTIF(U17:U18,"x")=0,"","x")</f>
        <v>x</v>
      </c>
      <c r="V16" s="72" t="str">
        <f t="shared" ref="V16" si="29">IF(COUNTIF(V17:V18,"x")=0,"","x")</f>
        <v>x</v>
      </c>
    </row>
    <row r="17" spans="1:22" ht="25.5" x14ac:dyDescent="0.2">
      <c r="A17" t="s">
        <v>378</v>
      </c>
      <c r="B17" s="31" t="s">
        <v>33</v>
      </c>
      <c r="C17" s="322" t="s">
        <v>61</v>
      </c>
      <c r="D17" s="5" t="s">
        <v>455</v>
      </c>
      <c r="E17" s="106"/>
      <c r="F17" s="237"/>
      <c r="G17" s="120"/>
      <c r="H17" s="226" t="str">
        <f>HYPERLINK(CONCATENATE("http://garwiki.regn.net/mediawiki/index.php/Scorecard_Rule_",MID(A17,FIND(":",A17)+1,9)),"?")</f>
        <v>?</v>
      </c>
      <c r="I17" s="72" t="s">
        <v>60</v>
      </c>
      <c r="J17" s="72" t="s">
        <v>60</v>
      </c>
      <c r="K17" s="72" t="s">
        <v>60</v>
      </c>
      <c r="L17" s="72" t="s">
        <v>60</v>
      </c>
      <c r="M17" s="176"/>
      <c r="N17" s="98"/>
      <c r="O17" s="72"/>
      <c r="P17" s="72"/>
      <c r="Q17" s="72"/>
      <c r="R17" s="72"/>
      <c r="S17" s="72"/>
      <c r="T17" s="72"/>
      <c r="U17" s="72" t="s">
        <v>60</v>
      </c>
      <c r="V17" s="72" t="s">
        <v>60</v>
      </c>
    </row>
    <row r="18" spans="1:22" ht="25.5" x14ac:dyDescent="0.2">
      <c r="A18" t="s">
        <v>379</v>
      </c>
      <c r="B18" s="31" t="s">
        <v>33</v>
      </c>
      <c r="C18" s="322" t="s">
        <v>62</v>
      </c>
      <c r="D18" s="5" t="s">
        <v>386</v>
      </c>
      <c r="E18" s="106"/>
      <c r="F18" s="237"/>
      <c r="G18" s="120"/>
      <c r="H18" s="226" t="str">
        <f t="shared" ref="H18" si="30">HYPERLINK(CONCATENATE("http://garwiki.regn.net/mediawiki/index.php/Scorecard_Rule_",MID(A18,FIND(":",A18)+1,9)),"?")</f>
        <v>?</v>
      </c>
      <c r="I18" s="72" t="s">
        <v>60</v>
      </c>
      <c r="J18" s="72" t="s">
        <v>60</v>
      </c>
      <c r="K18" s="72" t="s">
        <v>60</v>
      </c>
      <c r="L18" s="72" t="s">
        <v>60</v>
      </c>
      <c r="M18" s="228"/>
      <c r="N18" s="228"/>
      <c r="O18" s="72"/>
      <c r="P18" s="72"/>
      <c r="Q18" s="72"/>
      <c r="R18" s="72"/>
      <c r="S18" s="72"/>
      <c r="T18" s="72"/>
      <c r="U18" s="72"/>
      <c r="V18" s="72"/>
    </row>
    <row r="19" spans="1:22" x14ac:dyDescent="0.2">
      <c r="A19" t="s">
        <v>380</v>
      </c>
      <c r="B19" s="95" t="s">
        <v>59</v>
      </c>
      <c r="C19" s="321" t="s">
        <v>183</v>
      </c>
      <c r="D19" s="465" t="s">
        <v>414</v>
      </c>
      <c r="E19" s="466"/>
      <c r="F19" s="466"/>
      <c r="G19" s="467"/>
      <c r="H19" s="226" t="str">
        <f>HYPERLINK(CONCATENATE("http://garwiki.regn.net/mediawiki/index.php/",SUBSTITUTE(D19," ","_"),"_(golden_rule)"),"?")</f>
        <v>?</v>
      </c>
      <c r="I19" s="94" t="str">
        <f>I20</f>
        <v>x</v>
      </c>
      <c r="J19" s="94" t="str">
        <f t="shared" ref="J19:V19" si="31">J20</f>
        <v>x</v>
      </c>
      <c r="K19" s="94" t="str">
        <f>K20</f>
        <v>x</v>
      </c>
      <c r="L19" s="94" t="str">
        <f t="shared" si="31"/>
        <v>x</v>
      </c>
      <c r="M19" s="94" t="str">
        <f t="shared" si="31"/>
        <v/>
      </c>
      <c r="N19" s="94" t="str">
        <f t="shared" si="31"/>
        <v/>
      </c>
      <c r="O19" s="94" t="str">
        <f t="shared" si="31"/>
        <v/>
      </c>
      <c r="P19" s="94" t="str">
        <f t="shared" si="31"/>
        <v/>
      </c>
      <c r="Q19" s="94" t="str">
        <f t="shared" si="31"/>
        <v/>
      </c>
      <c r="R19" s="94" t="str">
        <f t="shared" si="31"/>
        <v/>
      </c>
      <c r="S19" s="94" t="str">
        <f t="shared" si="31"/>
        <v/>
      </c>
      <c r="T19" s="94" t="str">
        <f t="shared" si="31"/>
        <v/>
      </c>
      <c r="U19" s="94" t="str">
        <f>U20</f>
        <v>x</v>
      </c>
      <c r="V19" s="94" t="str">
        <f t="shared" si="31"/>
        <v>x</v>
      </c>
    </row>
    <row r="20" spans="1:22" ht="26.25" customHeight="1" x14ac:dyDescent="0.2">
      <c r="B20" s="474" t="s">
        <v>387</v>
      </c>
      <c r="C20" s="475"/>
      <c r="D20" s="476"/>
      <c r="E20" s="106"/>
      <c r="F20" s="241" t="s">
        <v>20</v>
      </c>
      <c r="G20" s="119"/>
      <c r="H20" s="226"/>
      <c r="I20" s="72" t="str">
        <f>IF(COUNTIF(I21:I21,"x")=0,"","x")</f>
        <v>x</v>
      </c>
      <c r="J20" s="72" t="str">
        <f t="shared" ref="J20:V20" si="32">IF(COUNTIF(J21:J21,"x")=0,"","x")</f>
        <v>x</v>
      </c>
      <c r="K20" s="72" t="str">
        <f t="shared" si="32"/>
        <v>x</v>
      </c>
      <c r="L20" s="72" t="str">
        <f t="shared" si="32"/>
        <v>x</v>
      </c>
      <c r="M20" s="72" t="str">
        <f t="shared" si="32"/>
        <v/>
      </c>
      <c r="N20" s="72" t="str">
        <f t="shared" si="32"/>
        <v/>
      </c>
      <c r="O20" s="72" t="str">
        <f t="shared" si="32"/>
        <v/>
      </c>
      <c r="P20" s="72" t="str">
        <f t="shared" si="32"/>
        <v/>
      </c>
      <c r="Q20" s="72" t="str">
        <f t="shared" si="32"/>
        <v/>
      </c>
      <c r="R20" s="72" t="str">
        <f t="shared" si="32"/>
        <v/>
      </c>
      <c r="S20" s="72" t="str">
        <f t="shared" si="32"/>
        <v/>
      </c>
      <c r="T20" s="72" t="str">
        <f t="shared" si="32"/>
        <v/>
      </c>
      <c r="U20" s="72" t="str">
        <f>IF(COUNTIF(U21:U21,"x")=0,"","x")</f>
        <v>x</v>
      </c>
      <c r="V20" s="72" t="str">
        <f t="shared" si="32"/>
        <v>x</v>
      </c>
    </row>
    <row r="21" spans="1:22" ht="25.5" x14ac:dyDescent="0.2">
      <c r="A21" t="s">
        <v>381</v>
      </c>
      <c r="B21" s="31" t="s">
        <v>33</v>
      </c>
      <c r="C21" s="322" t="s">
        <v>73</v>
      </c>
      <c r="D21" s="5" t="s">
        <v>646</v>
      </c>
      <c r="E21" s="106"/>
      <c r="F21" s="237"/>
      <c r="G21" s="120"/>
      <c r="H21" s="226" t="str">
        <f t="shared" ref="H21" si="33">HYPERLINK(CONCATENATE("http://garwiki.regn.net/mediawiki/index.php/Scorecard_Rule_",MID(A21,FIND(":",A21)+1,9)),"?")</f>
        <v>?</v>
      </c>
      <c r="I21" s="72" t="s">
        <v>60</v>
      </c>
      <c r="J21" s="72" t="s">
        <v>60</v>
      </c>
      <c r="K21" s="72" t="s">
        <v>60</v>
      </c>
      <c r="L21" s="72" t="s">
        <v>60</v>
      </c>
      <c r="M21" s="228"/>
      <c r="N21" s="98"/>
      <c r="O21" s="72"/>
      <c r="P21" s="72"/>
      <c r="Q21" s="72"/>
      <c r="R21" s="72"/>
      <c r="S21" s="72"/>
      <c r="T21" s="72"/>
      <c r="U21" s="72" t="s">
        <v>60</v>
      </c>
      <c r="V21" s="72" t="s">
        <v>60</v>
      </c>
    </row>
    <row r="22" spans="1:22" x14ac:dyDescent="0.2">
      <c r="A22" s="160" t="s">
        <v>544</v>
      </c>
      <c r="B22" s="95" t="s">
        <v>59</v>
      </c>
      <c r="C22" s="321" t="s">
        <v>648</v>
      </c>
      <c r="D22" s="465" t="s">
        <v>542</v>
      </c>
      <c r="E22" s="466"/>
      <c r="F22" s="466"/>
      <c r="G22" s="467"/>
      <c r="H22" s="226" t="str">
        <f>HYPERLINK(CONCATENATE("http://garwiki.regn.net/mediawiki/index.php/",SUBSTITUTE(D22," ","_"),"_(golden_rule)"),"?")</f>
        <v>?</v>
      </c>
      <c r="I22" s="94" t="str">
        <f>I23</f>
        <v>x</v>
      </c>
      <c r="J22" s="94" t="str">
        <f t="shared" ref="J22:V22" si="34">J23</f>
        <v>x</v>
      </c>
      <c r="K22" s="94" t="str">
        <f>K23</f>
        <v>x</v>
      </c>
      <c r="L22" s="94" t="str">
        <f t="shared" si="34"/>
        <v>x</v>
      </c>
      <c r="M22" s="94" t="str">
        <f t="shared" si="34"/>
        <v>x</v>
      </c>
      <c r="N22" s="94" t="str">
        <f t="shared" si="34"/>
        <v>x</v>
      </c>
      <c r="O22" s="94" t="str">
        <f t="shared" si="34"/>
        <v>x</v>
      </c>
      <c r="P22" s="94" t="str">
        <f t="shared" si="34"/>
        <v>x</v>
      </c>
      <c r="Q22" s="94" t="str">
        <f t="shared" si="34"/>
        <v>x</v>
      </c>
      <c r="R22" s="94" t="str">
        <f t="shared" si="34"/>
        <v>x</v>
      </c>
      <c r="S22" s="94" t="str">
        <f t="shared" si="34"/>
        <v>x</v>
      </c>
      <c r="T22" s="94" t="str">
        <f t="shared" si="34"/>
        <v>x</v>
      </c>
      <c r="U22" s="94" t="str">
        <f>U23</f>
        <v>x</v>
      </c>
      <c r="V22" s="94" t="str">
        <f t="shared" si="34"/>
        <v>x</v>
      </c>
    </row>
    <row r="23" spans="1:22" ht="25.5" customHeight="1" x14ac:dyDescent="0.2">
      <c r="B23" s="491" t="s">
        <v>543</v>
      </c>
      <c r="C23" s="492"/>
      <c r="D23" s="493"/>
      <c r="E23" s="106"/>
      <c r="F23" s="241" t="s">
        <v>20</v>
      </c>
      <c r="G23" s="119"/>
      <c r="H23" s="226"/>
      <c r="I23" s="72" t="str">
        <f>IF(COUNTIF(I24:I26,"x")=0,"","x")</f>
        <v>x</v>
      </c>
      <c r="J23" s="72" t="str">
        <f t="shared" ref="J23:V23" si="35">IF(COUNTIF(J24:J26,"x")=0,"","x")</f>
        <v>x</v>
      </c>
      <c r="K23" s="72" t="str">
        <f t="shared" si="35"/>
        <v>x</v>
      </c>
      <c r="L23" s="72" t="str">
        <f t="shared" si="35"/>
        <v>x</v>
      </c>
      <c r="M23" s="72" t="str">
        <f t="shared" si="35"/>
        <v>x</v>
      </c>
      <c r="N23" s="72" t="str">
        <f t="shared" si="35"/>
        <v>x</v>
      </c>
      <c r="O23" s="72" t="str">
        <f t="shared" si="35"/>
        <v>x</v>
      </c>
      <c r="P23" s="72" t="str">
        <f t="shared" si="35"/>
        <v>x</v>
      </c>
      <c r="Q23" s="72" t="str">
        <f t="shared" si="35"/>
        <v>x</v>
      </c>
      <c r="R23" s="72" t="str">
        <f t="shared" si="35"/>
        <v>x</v>
      </c>
      <c r="S23" s="72" t="str">
        <f t="shared" si="35"/>
        <v>x</v>
      </c>
      <c r="T23" s="72" t="str">
        <f t="shared" si="35"/>
        <v>x</v>
      </c>
      <c r="U23" s="72" t="str">
        <f t="shared" si="35"/>
        <v>x</v>
      </c>
      <c r="V23" s="72" t="str">
        <f t="shared" si="35"/>
        <v>x</v>
      </c>
    </row>
    <row r="24" spans="1:22" ht="25.5" x14ac:dyDescent="0.2">
      <c r="A24" t="s">
        <v>355</v>
      </c>
      <c r="B24" s="227" t="s">
        <v>33</v>
      </c>
      <c r="C24" s="326" t="s">
        <v>649</v>
      </c>
      <c r="D24" s="36" t="s">
        <v>365</v>
      </c>
      <c r="E24" s="197"/>
      <c r="F24" s="237"/>
      <c r="G24" s="117"/>
      <c r="H24" s="226" t="str">
        <f>HYPERLINK(CONCATENATE("http://garwiki.regn.net/mediawiki/index.php/Scorecard_Rule_",MID(A24,FIND(":",A24)+1,9)),"?")</f>
        <v>?</v>
      </c>
      <c r="I24" s="76" t="s">
        <v>60</v>
      </c>
      <c r="J24" s="76" t="s">
        <v>60</v>
      </c>
      <c r="K24" s="76" t="s">
        <v>60</v>
      </c>
      <c r="L24" s="76" t="s">
        <v>60</v>
      </c>
      <c r="M24" s="139" t="s">
        <v>60</v>
      </c>
      <c r="N24" s="76" t="s">
        <v>60</v>
      </c>
      <c r="O24" s="75" t="s">
        <v>60</v>
      </c>
      <c r="P24" s="76" t="s">
        <v>60</v>
      </c>
      <c r="Q24" s="75" t="s">
        <v>60</v>
      </c>
      <c r="R24" s="76" t="s">
        <v>60</v>
      </c>
      <c r="S24" s="75" t="s">
        <v>60</v>
      </c>
      <c r="T24" s="76" t="s">
        <v>60</v>
      </c>
      <c r="U24" s="76" t="s">
        <v>60</v>
      </c>
      <c r="V24" s="76" t="s">
        <v>60</v>
      </c>
    </row>
    <row r="25" spans="1:22" ht="25.5" x14ac:dyDescent="0.2">
      <c r="A25" t="s">
        <v>356</v>
      </c>
      <c r="B25" s="35" t="s">
        <v>33</v>
      </c>
      <c r="C25" s="326" t="s">
        <v>650</v>
      </c>
      <c r="D25" s="232" t="s">
        <v>647</v>
      </c>
      <c r="E25" s="197"/>
      <c r="F25" s="237"/>
      <c r="G25" s="118"/>
      <c r="H25" s="226" t="str">
        <f>HYPERLINK(CONCATENATE("http://garwiki.regn.net/mediawiki/index.php/Scorecard_Rule_",MID(A25,FIND(":",A25)+1,9)),"?")</f>
        <v>?</v>
      </c>
      <c r="I25" s="76" t="s">
        <v>60</v>
      </c>
      <c r="J25" s="76" t="s">
        <v>60</v>
      </c>
      <c r="K25" s="76" t="s">
        <v>60</v>
      </c>
      <c r="L25" s="76" t="s">
        <v>60</v>
      </c>
      <c r="M25" s="139" t="s">
        <v>60</v>
      </c>
      <c r="N25" s="76" t="s">
        <v>60</v>
      </c>
      <c r="O25" s="75" t="s">
        <v>60</v>
      </c>
      <c r="P25" s="76" t="s">
        <v>60</v>
      </c>
      <c r="Q25" s="75" t="s">
        <v>60</v>
      </c>
      <c r="R25" s="76" t="s">
        <v>60</v>
      </c>
      <c r="S25" s="75" t="s">
        <v>60</v>
      </c>
      <c r="T25" s="76" t="s">
        <v>60</v>
      </c>
      <c r="U25" s="76" t="s">
        <v>60</v>
      </c>
      <c r="V25" s="76" t="s">
        <v>60</v>
      </c>
    </row>
    <row r="26" spans="1:22" ht="76.5" x14ac:dyDescent="0.2">
      <c r="A26" t="s">
        <v>361</v>
      </c>
      <c r="B26" s="31" t="s">
        <v>33</v>
      </c>
      <c r="C26" s="326" t="s">
        <v>651</v>
      </c>
      <c r="D26" s="36" t="s">
        <v>701</v>
      </c>
      <c r="E26" s="197"/>
      <c r="F26" s="237"/>
      <c r="G26" s="117"/>
      <c r="H26" s="226" t="str">
        <f>HYPERLINK(CONCATENATE("http://garwiki.regn.net/mediawiki/index.php/Scorecard_Rule_",MID(A26,FIND(":",A26)+1,9)),"?")</f>
        <v>?</v>
      </c>
      <c r="I26" s="76" t="s">
        <v>60</v>
      </c>
      <c r="J26" s="76" t="s">
        <v>60</v>
      </c>
      <c r="K26" s="76" t="s">
        <v>60</v>
      </c>
      <c r="L26" s="76" t="s">
        <v>60</v>
      </c>
      <c r="M26" s="139" t="s">
        <v>60</v>
      </c>
      <c r="N26" s="76" t="s">
        <v>60</v>
      </c>
      <c r="O26" s="75" t="s">
        <v>60</v>
      </c>
      <c r="P26" s="76" t="s">
        <v>60</v>
      </c>
      <c r="Q26" s="75" t="s">
        <v>60</v>
      </c>
      <c r="R26" s="76" t="s">
        <v>60</v>
      </c>
      <c r="S26" s="75" t="s">
        <v>60</v>
      </c>
      <c r="T26" s="76" t="s">
        <v>60</v>
      </c>
      <c r="U26" s="76" t="s">
        <v>60</v>
      </c>
      <c r="V26" s="76" t="s">
        <v>60</v>
      </c>
    </row>
  </sheetData>
  <sheetProtection algorithmName="SHA-512" hashValue="yZhAQYdfEjfE0/0oUwPu5045WTR2t5ZEMhXguGE7u6Yf+RneAItn9ViXvG1oayyO3h7LWUweV2ibKeM1Uh4FFA==" saltValue="ufBekQW9KactS9UyT5Hnkg==" spinCount="100000" sheet="1" objects="1" scenarios="1" formatColumns="0" formatRows="0"/>
  <mergeCells count="19">
    <mergeCell ref="B23:D23"/>
    <mergeCell ref="S2:T2"/>
    <mergeCell ref="M2:N2"/>
    <mergeCell ref="B16:D16"/>
    <mergeCell ref="B2:D2"/>
    <mergeCell ref="B6:D6"/>
    <mergeCell ref="B12:D12"/>
    <mergeCell ref="D11:G11"/>
    <mergeCell ref="D15:G15"/>
    <mergeCell ref="K2:L2"/>
    <mergeCell ref="D19:G19"/>
    <mergeCell ref="I2:J2"/>
    <mergeCell ref="O2:P2"/>
    <mergeCell ref="D1:G1"/>
    <mergeCell ref="D5:G5"/>
    <mergeCell ref="Q2:R2"/>
    <mergeCell ref="U2:V2"/>
    <mergeCell ref="D22:G22"/>
    <mergeCell ref="B20:D20"/>
  </mergeCells>
  <phoneticPr fontId="2" type="noConversion"/>
  <conditionalFormatting sqref="E2:E7 E10:E26">
    <cfRule type="cellIs" dxfId="39" priority="21" stopIfTrue="1" operator="equal">
      <formula>"Yes-N/A"</formula>
    </cfRule>
    <cfRule type="cellIs" dxfId="38" priority="85" stopIfTrue="1" operator="equal">
      <formula>"WVR"</formula>
    </cfRule>
    <cfRule type="cellIs" dxfId="37" priority="86" stopIfTrue="1" operator="equal">
      <formula>"Y"</formula>
    </cfRule>
    <cfRule type="cellIs" dxfId="36" priority="88" stopIfTrue="1" operator="equal">
      <formula>"N/A"</formula>
    </cfRule>
    <cfRule type="cellIs" dxfId="35" priority="90" stopIfTrue="1" operator="equal">
      <formula>"No"</formula>
    </cfRule>
    <cfRule type="cellIs" dxfId="34" priority="91" stopIfTrue="1" operator="equal">
      <formula>"Yes"</formula>
    </cfRule>
    <cfRule type="cellIs" dxfId="33" priority="92" stopIfTrue="1" operator="equal">
      <formula>"T-WVR"</formula>
    </cfRule>
    <cfRule type="cellIs" dxfId="32" priority="94" stopIfTrue="1" operator="equal">
      <formula>"P-WVR"</formula>
    </cfRule>
    <cfRule type="cellIs" dxfId="31" priority="95" stopIfTrue="1" operator="equal">
      <formula>"R"</formula>
    </cfRule>
    <cfRule type="cellIs" dxfId="30" priority="96" stopIfTrue="1" operator="equal">
      <formula>"G"</formula>
    </cfRule>
  </conditionalFormatting>
  <conditionalFormatting sqref="E8">
    <cfRule type="cellIs" dxfId="29" priority="11" stopIfTrue="1" operator="equal">
      <formula>"Yes-N/A"</formula>
    </cfRule>
    <cfRule type="cellIs" dxfId="28" priority="12" stopIfTrue="1" operator="equal">
      <formula>"WVR"</formula>
    </cfRule>
    <cfRule type="cellIs" dxfId="27" priority="13" stopIfTrue="1" operator="equal">
      <formula>"Y"</formula>
    </cfRule>
    <cfRule type="cellIs" dxfId="26" priority="14" stopIfTrue="1" operator="equal">
      <formula>"N/A"</formula>
    </cfRule>
    <cfRule type="cellIs" dxfId="25" priority="15" stopIfTrue="1" operator="equal">
      <formula>"No"</formula>
    </cfRule>
    <cfRule type="cellIs" dxfId="24" priority="16" stopIfTrue="1" operator="equal">
      <formula>"Yes"</formula>
    </cfRule>
    <cfRule type="cellIs" dxfId="23" priority="17" stopIfTrue="1" operator="equal">
      <formula>"T-WVR"</formula>
    </cfRule>
    <cfRule type="cellIs" dxfId="22" priority="18" stopIfTrue="1" operator="equal">
      <formula>"P-WVR"</formula>
    </cfRule>
    <cfRule type="cellIs" dxfId="21" priority="19" stopIfTrue="1" operator="equal">
      <formula>"R"</formula>
    </cfRule>
    <cfRule type="cellIs" dxfId="20" priority="20" stopIfTrue="1" operator="equal">
      <formula>"G"</formula>
    </cfRule>
  </conditionalFormatting>
  <conditionalFormatting sqref="E9">
    <cfRule type="cellIs" dxfId="19" priority="1" stopIfTrue="1" operator="equal">
      <formula>"Yes-N/A"</formula>
    </cfRule>
    <cfRule type="cellIs" dxfId="18" priority="2" stopIfTrue="1" operator="equal">
      <formula>"WVR"</formula>
    </cfRule>
    <cfRule type="cellIs" dxfId="17" priority="3" stopIfTrue="1" operator="equal">
      <formula>"Y"</formula>
    </cfRule>
    <cfRule type="cellIs" dxfId="16" priority="4" stopIfTrue="1" operator="equal">
      <formula>"N/A"</formula>
    </cfRule>
    <cfRule type="cellIs" dxfId="15" priority="5" stopIfTrue="1" operator="equal">
      <formula>"No"</formula>
    </cfRule>
    <cfRule type="cellIs" dxfId="14" priority="6" stopIfTrue="1" operator="equal">
      <formula>"Yes"</formula>
    </cfRule>
    <cfRule type="cellIs" dxfId="13" priority="7" stopIfTrue="1" operator="equal">
      <formula>"T-WVR"</formula>
    </cfRule>
    <cfRule type="cellIs" dxfId="12" priority="8" stopIfTrue="1" operator="equal">
      <formula>"P-WVR"</formula>
    </cfRule>
    <cfRule type="cellIs" dxfId="11" priority="9" stopIfTrue="1" operator="equal">
      <formula>"R"</formula>
    </cfRule>
    <cfRule type="cellIs" dxfId="10" priority="10" stopIfTrue="1" operator="equal">
      <formula>"G"</formula>
    </cfRule>
  </conditionalFormatting>
  <dataValidations count="4">
    <dataValidation type="list" allowBlank="1" showInputMessage="1" showErrorMessage="1" sqref="E24:E26 E13:E14 E17:E18 E21 E7:E10">
      <formula1>ValidValues</formula1>
    </dataValidation>
    <dataValidation type="list" allowBlank="1" showInputMessage="1" showErrorMessage="1" sqref="E6 E12 E16 E20 E23">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6">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autoPageBreaks="0" fitToPage="1"/>
  </sheetPr>
  <dimension ref="A1:V12"/>
  <sheetViews>
    <sheetView zoomScaleNormal="100" workbookViewId="0">
      <pane ySplit="4" topLeftCell="A5" activePane="bottomLeft" state="frozen"/>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22" width="3.7109375" customWidth="1"/>
  </cols>
  <sheetData>
    <row r="1" spans="1:22" ht="22.5" x14ac:dyDescent="0.2">
      <c r="A1" t="s">
        <v>354</v>
      </c>
      <c r="B1" s="302" t="s">
        <v>59</v>
      </c>
      <c r="C1" s="303">
        <v>5</v>
      </c>
      <c r="D1" s="470" t="s">
        <v>408</v>
      </c>
      <c r="E1" s="471"/>
      <c r="F1" s="471"/>
      <c r="G1" s="472"/>
      <c r="H1" s="226" t="str">
        <f>HYPERLINK(CONCATENATE("http://garwiki.regn.net/mediawiki/index.php/",SUBSTITUTE(D1," ","_"),"_(principle)"),"?")</f>
        <v>?</v>
      </c>
      <c r="I1" s="198" t="s">
        <v>98</v>
      </c>
      <c r="J1" s="198" t="s">
        <v>99</v>
      </c>
      <c r="K1" s="198" t="s">
        <v>98</v>
      </c>
      <c r="L1" s="198" t="s">
        <v>99</v>
      </c>
      <c r="M1" s="198" t="s">
        <v>98</v>
      </c>
      <c r="N1" s="198" t="s">
        <v>99</v>
      </c>
      <c r="O1" s="198" t="s">
        <v>98</v>
      </c>
      <c r="P1" s="198" t="s">
        <v>99</v>
      </c>
      <c r="Q1" s="198" t="s">
        <v>98</v>
      </c>
      <c r="R1" s="198" t="s">
        <v>99</v>
      </c>
      <c r="S1" s="198" t="s">
        <v>98</v>
      </c>
      <c r="T1" s="198" t="s">
        <v>99</v>
      </c>
      <c r="U1" s="198" t="s">
        <v>98</v>
      </c>
      <c r="V1" s="198" t="s">
        <v>99</v>
      </c>
    </row>
    <row r="2" spans="1:22" ht="45.75" customHeight="1" x14ac:dyDescent="0.2">
      <c r="B2" s="468" t="s">
        <v>584</v>
      </c>
      <c r="C2" s="468"/>
      <c r="D2" s="468"/>
      <c r="E2" s="114"/>
      <c r="F2" s="235" t="s">
        <v>20</v>
      </c>
      <c r="G2" s="210"/>
      <c r="H2" s="104"/>
      <c r="I2" s="473" t="s">
        <v>480</v>
      </c>
      <c r="J2" s="473"/>
      <c r="K2" s="473" t="s">
        <v>481</v>
      </c>
      <c r="L2" s="473"/>
      <c r="M2" s="473" t="s">
        <v>388</v>
      </c>
      <c r="N2" s="473"/>
      <c r="O2" s="473" t="s">
        <v>389</v>
      </c>
      <c r="P2" s="473"/>
      <c r="Q2" s="473" t="s">
        <v>390</v>
      </c>
      <c r="R2" s="473"/>
      <c r="S2" s="473" t="s">
        <v>391</v>
      </c>
      <c r="T2" s="473"/>
      <c r="U2" s="473" t="s">
        <v>538</v>
      </c>
      <c r="V2" s="473"/>
    </row>
    <row r="3" spans="1:22" ht="13.5" thickBot="1" x14ac:dyDescent="0.25"/>
    <row r="4" spans="1:22" ht="25.5" x14ac:dyDescent="0.2">
      <c r="B4" s="7" t="s">
        <v>31</v>
      </c>
      <c r="C4" s="8" t="s">
        <v>32</v>
      </c>
      <c r="D4" s="8" t="s">
        <v>23</v>
      </c>
      <c r="E4" s="199" t="s">
        <v>30</v>
      </c>
      <c r="F4" s="63" t="s">
        <v>39</v>
      </c>
      <c r="G4" s="200" t="s">
        <v>215</v>
      </c>
      <c r="I4" s="76" t="s">
        <v>60</v>
      </c>
      <c r="J4" s="75" t="s">
        <v>60</v>
      </c>
      <c r="K4" s="76" t="s">
        <v>60</v>
      </c>
      <c r="L4" s="75" t="s">
        <v>60</v>
      </c>
      <c r="M4" s="139" t="s">
        <v>60</v>
      </c>
      <c r="N4" s="75" t="s">
        <v>60</v>
      </c>
      <c r="O4" s="75" t="s">
        <v>60</v>
      </c>
      <c r="P4" s="75" t="s">
        <v>60</v>
      </c>
      <c r="Q4" s="75" t="s">
        <v>60</v>
      </c>
      <c r="R4" s="75" t="s">
        <v>60</v>
      </c>
      <c r="S4" s="75" t="s">
        <v>60</v>
      </c>
      <c r="T4" s="75" t="s">
        <v>60</v>
      </c>
      <c r="U4" s="76" t="s">
        <v>60</v>
      </c>
      <c r="V4" s="75" t="s">
        <v>60</v>
      </c>
    </row>
    <row r="5" spans="1:22" x14ac:dyDescent="0.2">
      <c r="A5" t="s">
        <v>357</v>
      </c>
      <c r="B5" s="103" t="s">
        <v>59</v>
      </c>
      <c r="C5" s="101" t="s">
        <v>67</v>
      </c>
      <c r="D5" s="477" t="s">
        <v>409</v>
      </c>
      <c r="E5" s="478"/>
      <c r="F5" s="478"/>
      <c r="G5" s="479"/>
      <c r="H5" s="226" t="str">
        <f>HYPERLINK(CONCATENATE("http://garwiki.regn.net/mediawiki/index.php/",SUBSTITUTE(D5," ","_"),"_(golden_rule)"),"?")</f>
        <v>?</v>
      </c>
      <c r="I5" s="94" t="str">
        <f t="shared" ref="I5:V5" si="0">I6</f>
        <v>x</v>
      </c>
      <c r="J5" s="94" t="str">
        <f t="shared" si="0"/>
        <v>x</v>
      </c>
      <c r="K5" s="94" t="str">
        <f t="shared" si="0"/>
        <v>x</v>
      </c>
      <c r="L5" s="94" t="str">
        <f t="shared" si="0"/>
        <v>x</v>
      </c>
      <c r="M5" s="94" t="str">
        <f t="shared" si="0"/>
        <v>x</v>
      </c>
      <c r="N5" s="94" t="str">
        <f t="shared" si="0"/>
        <v>x</v>
      </c>
      <c r="O5" s="94" t="str">
        <f t="shared" si="0"/>
        <v>x</v>
      </c>
      <c r="P5" s="94" t="str">
        <f t="shared" si="0"/>
        <v>x</v>
      </c>
      <c r="Q5" s="94" t="str">
        <f t="shared" si="0"/>
        <v>x</v>
      </c>
      <c r="R5" s="94" t="str">
        <f t="shared" si="0"/>
        <v>x</v>
      </c>
      <c r="S5" s="94" t="str">
        <f t="shared" si="0"/>
        <v>x</v>
      </c>
      <c r="T5" s="94" t="str">
        <f t="shared" si="0"/>
        <v>x</v>
      </c>
      <c r="U5" s="94" t="str">
        <f t="shared" si="0"/>
        <v>x</v>
      </c>
      <c r="V5" s="94" t="str">
        <f t="shared" si="0"/>
        <v>x</v>
      </c>
    </row>
    <row r="6" spans="1:22" ht="27" customHeight="1" x14ac:dyDescent="0.2">
      <c r="B6" s="474" t="s">
        <v>366</v>
      </c>
      <c r="C6" s="475"/>
      <c r="D6" s="476"/>
      <c r="E6" s="197"/>
      <c r="F6" s="241" t="s">
        <v>20</v>
      </c>
      <c r="G6" s="112"/>
      <c r="H6" s="226"/>
      <c r="I6" s="72" t="str">
        <f t="shared" ref="I6:V6" si="1">IF(COUNTIF(I7:I12,"x")=0,"","x")</f>
        <v>x</v>
      </c>
      <c r="J6" s="72" t="str">
        <f t="shared" si="1"/>
        <v>x</v>
      </c>
      <c r="K6" s="72" t="str">
        <f t="shared" si="1"/>
        <v>x</v>
      </c>
      <c r="L6" s="72" t="str">
        <f t="shared" si="1"/>
        <v>x</v>
      </c>
      <c r="M6" s="72" t="str">
        <f t="shared" si="1"/>
        <v>x</v>
      </c>
      <c r="N6" s="72" t="str">
        <f t="shared" si="1"/>
        <v>x</v>
      </c>
      <c r="O6" s="72" t="str">
        <f t="shared" si="1"/>
        <v>x</v>
      </c>
      <c r="P6" s="72" t="str">
        <f t="shared" si="1"/>
        <v>x</v>
      </c>
      <c r="Q6" s="72" t="str">
        <f t="shared" si="1"/>
        <v>x</v>
      </c>
      <c r="R6" s="72" t="str">
        <f t="shared" si="1"/>
        <v>x</v>
      </c>
      <c r="S6" s="72" t="str">
        <f t="shared" si="1"/>
        <v>x</v>
      </c>
      <c r="T6" s="72" t="str">
        <f t="shared" si="1"/>
        <v>x</v>
      </c>
      <c r="U6" s="72" t="str">
        <f t="shared" si="1"/>
        <v>x</v>
      </c>
      <c r="V6" s="72" t="str">
        <f t="shared" si="1"/>
        <v>x</v>
      </c>
    </row>
    <row r="7" spans="1:22" ht="51" x14ac:dyDescent="0.2">
      <c r="A7" t="s">
        <v>358</v>
      </c>
      <c r="B7" s="31" t="s">
        <v>33</v>
      </c>
      <c r="C7" s="326" t="s">
        <v>4</v>
      </c>
      <c r="D7" s="36" t="s">
        <v>641</v>
      </c>
      <c r="E7" s="197"/>
      <c r="F7" s="237"/>
      <c r="G7" s="117"/>
      <c r="H7" s="226" t="str">
        <f t="shared" ref="H7:H12" si="2">HYPERLINK(CONCATENATE("http://garwiki.regn.net/mediawiki/index.php/Scorecard_Rule_",MID(A7,FIND(":",A7)+1,9)),"?")</f>
        <v>?</v>
      </c>
      <c r="I7" s="76" t="s">
        <v>60</v>
      </c>
      <c r="J7" s="76" t="s">
        <v>60</v>
      </c>
      <c r="K7" s="76" t="s">
        <v>60</v>
      </c>
      <c r="L7" s="76" t="s">
        <v>60</v>
      </c>
      <c r="M7" s="139" t="s">
        <v>60</v>
      </c>
      <c r="N7" s="76" t="s">
        <v>60</v>
      </c>
      <c r="O7" s="75" t="s">
        <v>60</v>
      </c>
      <c r="P7" s="76" t="s">
        <v>60</v>
      </c>
      <c r="Q7" s="75" t="s">
        <v>60</v>
      </c>
      <c r="R7" s="76" t="s">
        <v>60</v>
      </c>
      <c r="S7" s="75" t="s">
        <v>60</v>
      </c>
      <c r="T7" s="76" t="s">
        <v>60</v>
      </c>
      <c r="U7" s="76" t="s">
        <v>60</v>
      </c>
      <c r="V7" s="76" t="s">
        <v>60</v>
      </c>
    </row>
    <row r="8" spans="1:22" ht="63.75" x14ac:dyDescent="0.2">
      <c r="A8" t="s">
        <v>359</v>
      </c>
      <c r="B8" s="31" t="s">
        <v>33</v>
      </c>
      <c r="C8" s="326" t="s">
        <v>5</v>
      </c>
      <c r="D8" s="36" t="s">
        <v>697</v>
      </c>
      <c r="E8" s="197"/>
      <c r="F8" s="237"/>
      <c r="G8" s="117"/>
      <c r="H8" s="226" t="str">
        <f t="shared" si="2"/>
        <v>?</v>
      </c>
      <c r="I8" s="76" t="s">
        <v>60</v>
      </c>
      <c r="J8" s="76" t="s">
        <v>60</v>
      </c>
      <c r="K8" s="76" t="s">
        <v>60</v>
      </c>
      <c r="L8" s="76" t="s">
        <v>60</v>
      </c>
      <c r="M8" s="139" t="s">
        <v>60</v>
      </c>
      <c r="N8" s="76" t="s">
        <v>60</v>
      </c>
      <c r="O8" s="75" t="s">
        <v>60</v>
      </c>
      <c r="P8" s="76" t="s">
        <v>60</v>
      </c>
      <c r="Q8" s="75" t="s">
        <v>60</v>
      </c>
      <c r="R8" s="76" t="s">
        <v>60</v>
      </c>
      <c r="S8" s="75" t="s">
        <v>60</v>
      </c>
      <c r="T8" s="76" t="s">
        <v>60</v>
      </c>
      <c r="U8" s="76" t="s">
        <v>60</v>
      </c>
      <c r="V8" s="76" t="s">
        <v>60</v>
      </c>
    </row>
    <row r="9" spans="1:22" ht="25.5" x14ac:dyDescent="0.2">
      <c r="A9" t="s">
        <v>360</v>
      </c>
      <c r="B9" s="31" t="s">
        <v>33</v>
      </c>
      <c r="C9" s="326" t="s">
        <v>74</v>
      </c>
      <c r="D9" s="36" t="s">
        <v>367</v>
      </c>
      <c r="E9" s="197"/>
      <c r="F9" s="237"/>
      <c r="G9" s="117"/>
      <c r="H9" s="226" t="str">
        <f t="shared" si="2"/>
        <v>?</v>
      </c>
      <c r="I9" s="76" t="s">
        <v>60</v>
      </c>
      <c r="J9" s="76" t="s">
        <v>60</v>
      </c>
      <c r="K9" s="76" t="s">
        <v>60</v>
      </c>
      <c r="L9" s="76" t="s">
        <v>60</v>
      </c>
      <c r="M9" s="139" t="s">
        <v>60</v>
      </c>
      <c r="N9" s="76" t="s">
        <v>60</v>
      </c>
      <c r="O9" s="75" t="s">
        <v>60</v>
      </c>
      <c r="P9" s="76" t="s">
        <v>60</v>
      </c>
      <c r="Q9" s="75" t="s">
        <v>60</v>
      </c>
      <c r="R9" s="76" t="s">
        <v>60</v>
      </c>
      <c r="S9" s="75" t="s">
        <v>60</v>
      </c>
      <c r="T9" s="76" t="s">
        <v>60</v>
      </c>
      <c r="U9" s="76" t="s">
        <v>60</v>
      </c>
      <c r="V9" s="76" t="s">
        <v>60</v>
      </c>
    </row>
    <row r="10" spans="1:22" ht="63.75" x14ac:dyDescent="0.2">
      <c r="A10" t="s">
        <v>362</v>
      </c>
      <c r="B10" s="31" t="s">
        <v>33</v>
      </c>
      <c r="C10" s="326" t="s">
        <v>54</v>
      </c>
      <c r="D10" s="36" t="s">
        <v>699</v>
      </c>
      <c r="E10" s="197"/>
      <c r="F10" s="237"/>
      <c r="G10" s="117"/>
      <c r="H10" s="226" t="str">
        <f t="shared" si="2"/>
        <v>?</v>
      </c>
      <c r="I10" s="76"/>
      <c r="J10" s="76"/>
      <c r="K10" s="76"/>
      <c r="L10" s="76"/>
      <c r="M10" s="139" t="s">
        <v>60</v>
      </c>
      <c r="N10" s="76" t="s">
        <v>60</v>
      </c>
      <c r="O10" s="75" t="s">
        <v>60</v>
      </c>
      <c r="P10" s="76" t="s">
        <v>60</v>
      </c>
      <c r="Q10" s="75" t="s">
        <v>60</v>
      </c>
      <c r="R10" s="76" t="s">
        <v>60</v>
      </c>
      <c r="S10" s="75" t="s">
        <v>60</v>
      </c>
      <c r="T10" s="76" t="s">
        <v>60</v>
      </c>
      <c r="U10" s="76" t="s">
        <v>60</v>
      </c>
      <c r="V10" s="76" t="s">
        <v>60</v>
      </c>
    </row>
    <row r="11" spans="1:22" ht="63.75" x14ac:dyDescent="0.2">
      <c r="A11" t="s">
        <v>363</v>
      </c>
      <c r="B11" s="31" t="s">
        <v>33</v>
      </c>
      <c r="C11" s="326" t="s">
        <v>652</v>
      </c>
      <c r="D11" s="36" t="s">
        <v>702</v>
      </c>
      <c r="E11" s="197"/>
      <c r="F11" s="237"/>
      <c r="G11" s="117"/>
      <c r="H11" s="226" t="str">
        <f t="shared" si="2"/>
        <v>?</v>
      </c>
      <c r="I11" s="76" t="s">
        <v>60</v>
      </c>
      <c r="J11" s="76" t="s">
        <v>60</v>
      </c>
      <c r="K11" s="76" t="s">
        <v>60</v>
      </c>
      <c r="L11" s="76" t="s">
        <v>60</v>
      </c>
      <c r="M11" s="139" t="s">
        <v>60</v>
      </c>
      <c r="N11" s="76" t="s">
        <v>60</v>
      </c>
      <c r="O11" s="75" t="s">
        <v>60</v>
      </c>
      <c r="P11" s="76" t="s">
        <v>60</v>
      </c>
      <c r="Q11" s="75" t="s">
        <v>60</v>
      </c>
      <c r="R11" s="76" t="s">
        <v>60</v>
      </c>
      <c r="S11" s="75" t="s">
        <v>60</v>
      </c>
      <c r="T11" s="76" t="s">
        <v>60</v>
      </c>
      <c r="U11" s="76" t="s">
        <v>60</v>
      </c>
      <c r="V11" s="76" t="s">
        <v>60</v>
      </c>
    </row>
    <row r="12" spans="1:22" ht="51" x14ac:dyDescent="0.2">
      <c r="A12" t="s">
        <v>364</v>
      </c>
      <c r="B12" s="31" t="s">
        <v>33</v>
      </c>
      <c r="C12" s="326" t="s">
        <v>334</v>
      </c>
      <c r="D12" s="36" t="s">
        <v>704</v>
      </c>
      <c r="E12" s="197"/>
      <c r="F12" s="237"/>
      <c r="G12" s="117"/>
      <c r="H12" s="226" t="str">
        <f t="shared" si="2"/>
        <v>?</v>
      </c>
      <c r="I12" s="76" t="s">
        <v>60</v>
      </c>
      <c r="J12" s="76" t="s">
        <v>60</v>
      </c>
      <c r="K12" s="76" t="s">
        <v>60</v>
      </c>
      <c r="L12" s="76" t="s">
        <v>60</v>
      </c>
      <c r="M12" s="139" t="s">
        <v>60</v>
      </c>
      <c r="N12" s="76" t="s">
        <v>60</v>
      </c>
      <c r="O12" s="75" t="s">
        <v>60</v>
      </c>
      <c r="P12" s="76" t="s">
        <v>60</v>
      </c>
      <c r="Q12" s="75" t="s">
        <v>60</v>
      </c>
      <c r="R12" s="76" t="s">
        <v>60</v>
      </c>
      <c r="S12" s="75" t="s">
        <v>60</v>
      </c>
      <c r="T12" s="76" t="s">
        <v>60</v>
      </c>
      <c r="U12" s="76" t="s">
        <v>60</v>
      </c>
      <c r="V12" s="76" t="s">
        <v>60</v>
      </c>
    </row>
  </sheetData>
  <sheetProtection algorithmName="SHA-512" hashValue="MK81in6ndjnjlgJNue/A9rEauFppxBb35+HTMM3UFcaohpJkGg377FqvIdcCcX0UMWak+b2bzctBfQBT4lgxgw==" saltValue="s67A+jBuzgw4zvBfthn4dw==" spinCount="100000" sheet="1" objects="1" scenarios="1" formatColumns="0" formatRows="0"/>
  <mergeCells count="11">
    <mergeCell ref="U2:V2"/>
    <mergeCell ref="D5:G5"/>
    <mergeCell ref="B6:D6"/>
    <mergeCell ref="D1:G1"/>
    <mergeCell ref="B2:D2"/>
    <mergeCell ref="O2:P2"/>
    <mergeCell ref="Q2:R2"/>
    <mergeCell ref="S2:T2"/>
    <mergeCell ref="M2:N2"/>
    <mergeCell ref="I2:J2"/>
    <mergeCell ref="K2:L2"/>
  </mergeCells>
  <phoneticPr fontId="2" type="noConversion"/>
  <conditionalFormatting sqref="E2:E12">
    <cfRule type="cellIs" dxfId="9" priority="1" stopIfTrue="1" operator="equal">
      <formula>"Yes-N/A"</formula>
    </cfRule>
    <cfRule type="cellIs" dxfId="8" priority="2" stopIfTrue="1" operator="equal">
      <formula>"WVR"</formula>
    </cfRule>
    <cfRule type="cellIs" dxfId="7" priority="3" stopIfTrue="1" operator="equal">
      <formula>"T-WVR"</formula>
    </cfRule>
    <cfRule type="cellIs" dxfId="6" priority="4" stopIfTrue="1" operator="equal">
      <formula>"N/A"</formula>
    </cfRule>
    <cfRule type="cellIs" dxfId="5" priority="5" stopIfTrue="1" operator="equal">
      <formula>"P-WVR"</formula>
    </cfRule>
    <cfRule type="cellIs" dxfId="4" priority="6" stopIfTrue="1" operator="equal">
      <formula>"No"</formula>
    </cfRule>
    <cfRule type="cellIs" dxfId="3" priority="7" stopIfTrue="1" operator="equal">
      <formula>"Yes"</formula>
    </cfRule>
    <cfRule type="cellIs" dxfId="2" priority="9" stopIfTrue="1" operator="equal">
      <formula>"R"</formula>
    </cfRule>
    <cfRule type="cellIs" dxfId="1" priority="10" stopIfTrue="1" operator="equal">
      <formula>"Y"</formula>
    </cfRule>
    <cfRule type="cellIs" dxfId="0" priority="11" stopIfTrue="1" operator="equal">
      <formula>"G"</formula>
    </cfRule>
  </conditionalFormatting>
  <dataValidations count="4">
    <dataValidation type="list" allowBlank="1" showInputMessage="1" showErrorMessage="1" sqref="E7:E12">
      <formula1>ValidValues</formula1>
    </dataValidation>
    <dataValidation type="list" allowBlank="1" showInputMessage="1" showErrorMessage="1" sqref="E6">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2">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fitToPage="1"/>
  </sheetPr>
  <dimension ref="A1:P17"/>
  <sheetViews>
    <sheetView zoomScale="90" zoomScaleNormal="90" workbookViewId="0">
      <selection activeCell="C13" sqref="C13"/>
    </sheetView>
  </sheetViews>
  <sheetFormatPr defaultRowHeight="12.75" x14ac:dyDescent="0.2"/>
  <cols>
    <col min="1" max="1" width="10.5703125" customWidth="1"/>
    <col min="2" max="2" width="53.85546875" customWidth="1"/>
    <col min="3" max="3" width="13.140625" customWidth="1"/>
    <col min="4" max="4" width="11.42578125" customWidth="1"/>
    <col min="5" max="5" width="11.7109375" customWidth="1"/>
    <col min="6" max="6" width="13.140625" customWidth="1"/>
    <col min="7" max="8" width="12" customWidth="1"/>
    <col min="9" max="12" width="13.28515625" customWidth="1"/>
    <col min="13" max="14" width="12" customWidth="1"/>
    <col min="15" max="16" width="9.140625" hidden="1" customWidth="1"/>
    <col min="23" max="23" width="12.140625" customWidth="1"/>
    <col min="38" max="38" width="12.28515625" customWidth="1"/>
  </cols>
  <sheetData>
    <row r="1" spans="1:10" ht="18.75" x14ac:dyDescent="0.3">
      <c r="A1" s="442" t="s">
        <v>223</v>
      </c>
      <c r="B1" s="442"/>
      <c r="C1" s="442"/>
      <c r="D1" s="442"/>
      <c r="E1" s="442"/>
      <c r="F1" s="498" t="s">
        <v>522</v>
      </c>
      <c r="G1" s="499"/>
    </row>
    <row r="2" spans="1:10" ht="15.75" x14ac:dyDescent="0.25">
      <c r="A2" s="511" t="s">
        <v>215</v>
      </c>
      <c r="B2" s="513" t="s">
        <v>108</v>
      </c>
      <c r="C2" s="500" t="s">
        <v>214</v>
      </c>
      <c r="D2" s="501"/>
      <c r="E2" s="511" t="s">
        <v>109</v>
      </c>
      <c r="F2" s="500" t="s">
        <v>214</v>
      </c>
      <c r="G2" s="501"/>
      <c r="H2" s="157"/>
      <c r="I2" s="243" t="s">
        <v>415</v>
      </c>
      <c r="J2" s="157"/>
    </row>
    <row r="3" spans="1:10" ht="15.75" x14ac:dyDescent="0.25">
      <c r="A3" s="512"/>
      <c r="B3" s="514"/>
      <c r="C3" s="159" t="s">
        <v>76</v>
      </c>
      <c r="D3" s="159" t="s">
        <v>77</v>
      </c>
      <c r="E3" s="512"/>
      <c r="F3" s="297" t="s">
        <v>76</v>
      </c>
      <c r="G3" s="298" t="s">
        <v>77</v>
      </c>
      <c r="H3" s="158"/>
      <c r="I3" s="243" t="s">
        <v>416</v>
      </c>
      <c r="J3" s="158"/>
    </row>
    <row r="4" spans="1:10" ht="14.25" x14ac:dyDescent="0.2">
      <c r="A4" s="140"/>
      <c r="B4" s="141"/>
      <c r="C4" s="201"/>
      <c r="D4" s="201"/>
      <c r="E4" s="186"/>
      <c r="F4" s="299"/>
      <c r="G4" s="299"/>
    </row>
    <row r="5" spans="1:10" ht="14.25" x14ac:dyDescent="0.2">
      <c r="A5" s="140"/>
      <c r="B5" s="141"/>
      <c r="C5" s="201"/>
      <c r="D5" s="201"/>
      <c r="E5" s="186"/>
      <c r="F5" s="300"/>
      <c r="G5" s="300"/>
      <c r="I5" s="160" t="s">
        <v>557</v>
      </c>
    </row>
    <row r="6" spans="1:10" ht="14.25" customHeight="1" x14ac:dyDescent="0.35">
      <c r="A6" s="497" t="s">
        <v>216</v>
      </c>
      <c r="B6" s="497"/>
      <c r="C6" s="497"/>
      <c r="D6" s="497"/>
      <c r="E6" s="187"/>
      <c r="F6" s="187"/>
      <c r="G6" s="187"/>
    </row>
    <row r="7" spans="1:10" ht="18.75" customHeight="1" x14ac:dyDescent="0.25">
      <c r="A7" s="124"/>
      <c r="B7" s="138" t="s">
        <v>212</v>
      </c>
      <c r="C7" s="125">
        <f>SUM(C4:C6)</f>
        <v>0</v>
      </c>
      <c r="D7" s="125">
        <f>SUM(D4:D6)</f>
        <v>0</v>
      </c>
      <c r="E7" s="67"/>
      <c r="F7" s="67"/>
      <c r="G7" s="126"/>
      <c r="H7" s="126"/>
      <c r="I7" s="126"/>
      <c r="J7" s="126"/>
    </row>
    <row r="8" spans="1:10" ht="15" x14ac:dyDescent="0.2">
      <c r="E8" s="67"/>
      <c r="F8" s="67"/>
      <c r="G8" s="126"/>
      <c r="H8" s="126"/>
      <c r="I8" s="126"/>
      <c r="J8" s="126"/>
    </row>
    <row r="9" spans="1:10" ht="13.5" thickBot="1" x14ac:dyDescent="0.25"/>
    <row r="10" spans="1:10" ht="18.75" x14ac:dyDescent="0.3">
      <c r="A10" s="506" t="s">
        <v>136</v>
      </c>
      <c r="B10" s="507"/>
      <c r="C10" s="507"/>
      <c r="D10" s="508"/>
      <c r="E10" s="91"/>
      <c r="J10" s="4"/>
    </row>
    <row r="11" spans="1:10" ht="15.75" x14ac:dyDescent="0.2">
      <c r="A11" s="509" t="s">
        <v>213</v>
      </c>
      <c r="B11" s="504" t="s">
        <v>78</v>
      </c>
      <c r="C11" s="502" t="s">
        <v>91</v>
      </c>
      <c r="D11" s="503"/>
    </row>
    <row r="12" spans="1:10" ht="15.75" x14ac:dyDescent="0.2">
      <c r="A12" s="510"/>
      <c r="B12" s="505"/>
      <c r="C12" s="184" t="s">
        <v>240</v>
      </c>
      <c r="D12" s="188" t="s">
        <v>241</v>
      </c>
    </row>
    <row r="13" spans="1:10" ht="15" x14ac:dyDescent="0.25">
      <c r="A13" s="189">
        <v>1</v>
      </c>
      <c r="B13" s="185" t="s">
        <v>406</v>
      </c>
      <c r="C13" s="190">
        <f xml:space="preserve"> SUMIF($E$3:$E$6,$A13,C$3:C$6)</f>
        <v>0</v>
      </c>
      <c r="D13" s="190">
        <f xml:space="preserve"> SUMIF($E$3:$E$6,$A13,D$3:D$6)</f>
        <v>0</v>
      </c>
    </row>
    <row r="14" spans="1:10" ht="15" x14ac:dyDescent="0.25">
      <c r="A14" s="189">
        <v>2</v>
      </c>
      <c r="B14" s="185" t="s">
        <v>569</v>
      </c>
      <c r="C14" s="190">
        <f t="shared" ref="C14:C17" si="0" xml:space="preserve"> SUMIF($E$3:$E$6,$A14,C$3:C$6)</f>
        <v>0</v>
      </c>
      <c r="D14" s="190">
        <f t="shared" ref="D14:D17" si="1" xml:space="preserve"> SUMIF($E$3:$E$6,$A14,D$3:D$6)</f>
        <v>0</v>
      </c>
    </row>
    <row r="15" spans="1:10" ht="15" x14ac:dyDescent="0.25">
      <c r="A15" s="189">
        <v>3</v>
      </c>
      <c r="B15" s="185" t="s">
        <v>292</v>
      </c>
      <c r="C15" s="190">
        <f t="shared" si="0"/>
        <v>0</v>
      </c>
      <c r="D15" s="190">
        <f t="shared" si="1"/>
        <v>0</v>
      </c>
      <c r="G15" s="68"/>
    </row>
    <row r="16" spans="1:10" ht="15" x14ac:dyDescent="0.25">
      <c r="A16" s="189">
        <v>4</v>
      </c>
      <c r="B16" s="185" t="s">
        <v>410</v>
      </c>
      <c r="C16" s="190">
        <f t="shared" si="0"/>
        <v>0</v>
      </c>
      <c r="D16" s="190">
        <f t="shared" si="1"/>
        <v>0</v>
      </c>
    </row>
    <row r="17" spans="1:4" ht="15.75" thickBot="1" x14ac:dyDescent="0.3">
      <c r="A17" s="191">
        <v>5</v>
      </c>
      <c r="B17" s="192" t="s">
        <v>408</v>
      </c>
      <c r="C17" s="190">
        <f t="shared" si="0"/>
        <v>0</v>
      </c>
      <c r="D17" s="193">
        <f t="shared" si="1"/>
        <v>0</v>
      </c>
    </row>
  </sheetData>
  <mergeCells count="12">
    <mergeCell ref="A6:D6"/>
    <mergeCell ref="F1:G1"/>
    <mergeCell ref="F2:G2"/>
    <mergeCell ref="C11:D11"/>
    <mergeCell ref="B11:B12"/>
    <mergeCell ref="A10:D10"/>
    <mergeCell ref="A11:A12"/>
    <mergeCell ref="A1:E1"/>
    <mergeCell ref="A2:A3"/>
    <mergeCell ref="E2:E3"/>
    <mergeCell ref="C2:D2"/>
    <mergeCell ref="B2:B3"/>
  </mergeCells>
  <dataValidations count="4">
    <dataValidation type="decimal" operator="greaterThanOrEqual" allowBlank="1" showInputMessage="1" showErrorMessage="1" sqref="C4:C5">
      <formula1>0</formula1>
    </dataValidation>
    <dataValidation type="decimal" operator="greaterThanOrEqual" allowBlank="1" showInputMessage="1" showErrorMessage="1" sqref="D4:D5">
      <formula1>C4</formula1>
    </dataValidation>
    <dataValidation type="whole" allowBlank="1" showInputMessage="1" showErrorMessage="1" sqref="E4:E5">
      <formula1>1</formula1>
      <formula2>11</formula2>
    </dataValidation>
    <dataValidation type="whole" allowBlank="1" showInputMessage="1" showErrorMessage="1" sqref="A4:A5">
      <formula1>1</formula1>
      <formula2>10000</formula2>
    </dataValidation>
  </dataValidations>
  <pageMargins left="0.7" right="0.7" top="0.75" bottom="0.75" header="0.3" footer="0.3"/>
  <pageSetup scale="55" fitToHeight="100" orientation="landscape" r:id="rId1"/>
  <headerFooter>
    <oddHeader>&amp;L&amp;F&amp;C&amp;A&amp;R&amp;D</oddHead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AddGrDebtRow">
                <anchor moveWithCells="1" sizeWithCells="1">
                  <from>
                    <xdr:col>0</xdr:col>
                    <xdr:colOff>9525</xdr:colOff>
                    <xdr:row>5</xdr:row>
                    <xdr:rowOff>9525</xdr:rowOff>
                  </from>
                  <to>
                    <xdr:col>4</xdr:col>
                    <xdr:colOff>9525</xdr:colOff>
                    <xdr:row>5</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T128"/>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2.75" x14ac:dyDescent="0.2"/>
  <cols>
    <col min="1" max="1" width="16.85546875" customWidth="1"/>
    <col min="2" max="2" width="23.140625" style="164" customWidth="1"/>
    <col min="3" max="5" width="8.7109375" customWidth="1"/>
    <col min="6" max="6" width="9.140625" style="162"/>
    <col min="7" max="7" width="8.7109375" customWidth="1"/>
    <col min="8" max="8" width="9.140625" style="162"/>
    <col min="9" max="9" width="8.7109375" customWidth="1"/>
    <col min="10" max="10" width="9.140625" style="162"/>
    <col min="11" max="11" width="8.7109375" customWidth="1"/>
    <col min="12" max="12" width="9.140625" style="162"/>
  </cols>
  <sheetData>
    <row r="1" spans="1:20" x14ac:dyDescent="0.2">
      <c r="A1" s="515" t="s">
        <v>143</v>
      </c>
      <c r="B1" s="515"/>
      <c r="C1" s="515"/>
      <c r="D1" s="515"/>
      <c r="E1" s="515"/>
      <c r="F1" s="515"/>
      <c r="G1" s="515"/>
      <c r="H1" s="515"/>
      <c r="I1" s="515"/>
      <c r="J1" s="515"/>
      <c r="K1" s="515"/>
      <c r="L1" s="515"/>
      <c r="M1" s="515"/>
      <c r="N1" s="515"/>
      <c r="O1" s="515"/>
      <c r="P1" s="515"/>
      <c r="Q1" s="515"/>
      <c r="R1" s="515"/>
      <c r="S1" s="515"/>
      <c r="T1" s="160"/>
    </row>
    <row r="2" spans="1:20" s="162" customFormat="1" x14ac:dyDescent="0.2">
      <c r="B2" s="175"/>
      <c r="C2" s="223" t="s">
        <v>274</v>
      </c>
      <c r="D2" s="223" t="s">
        <v>274</v>
      </c>
      <c r="E2" s="223" t="s">
        <v>272</v>
      </c>
      <c r="F2" s="224" t="s">
        <v>272</v>
      </c>
      <c r="G2" s="223" t="s">
        <v>252</v>
      </c>
      <c r="H2" s="224" t="s">
        <v>252</v>
      </c>
      <c r="I2" s="223" t="s">
        <v>261</v>
      </c>
      <c r="J2" s="224" t="s">
        <v>261</v>
      </c>
      <c r="K2" s="223" t="s">
        <v>259</v>
      </c>
      <c r="L2" s="224" t="s">
        <v>259</v>
      </c>
      <c r="M2" s="223" t="s">
        <v>257</v>
      </c>
      <c r="N2" s="224" t="s">
        <v>257</v>
      </c>
      <c r="T2" s="163"/>
    </row>
    <row r="3" spans="1:20" x14ac:dyDescent="0.2">
      <c r="A3" s="160" t="s">
        <v>40</v>
      </c>
      <c r="B3" s="164" t="s">
        <v>147</v>
      </c>
      <c r="C3">
        <v>1</v>
      </c>
      <c r="E3">
        <v>1</v>
      </c>
      <c r="F3" s="163" t="s">
        <v>153</v>
      </c>
      <c r="G3">
        <v>1</v>
      </c>
      <c r="H3" s="163" t="s">
        <v>153</v>
      </c>
      <c r="I3">
        <v>1</v>
      </c>
      <c r="J3" s="163" t="s">
        <v>153</v>
      </c>
      <c r="K3">
        <v>1</v>
      </c>
      <c r="L3" s="163" t="s">
        <v>153</v>
      </c>
      <c r="M3">
        <v>1</v>
      </c>
      <c r="N3" s="163" t="s">
        <v>153</v>
      </c>
      <c r="T3" s="160"/>
    </row>
    <row r="4" spans="1:20" x14ac:dyDescent="0.2">
      <c r="A4" s="160" t="s">
        <v>40</v>
      </c>
      <c r="B4" s="164" t="s">
        <v>148</v>
      </c>
      <c r="C4">
        <v>1</v>
      </c>
      <c r="N4" s="162"/>
      <c r="T4" s="160"/>
    </row>
    <row r="5" spans="1:20" x14ac:dyDescent="0.2">
      <c r="A5" s="160" t="s">
        <v>40</v>
      </c>
      <c r="B5" s="164" t="s">
        <v>144</v>
      </c>
      <c r="C5" s="160">
        <v>1</v>
      </c>
      <c r="D5" s="160"/>
      <c r="E5" s="160">
        <v>1</v>
      </c>
      <c r="F5" s="163" t="s">
        <v>154</v>
      </c>
      <c r="G5" s="160">
        <v>1</v>
      </c>
      <c r="H5" s="163" t="s">
        <v>154</v>
      </c>
      <c r="I5" s="160">
        <v>1</v>
      </c>
      <c r="J5" s="163" t="s">
        <v>154</v>
      </c>
      <c r="K5" s="160">
        <v>1</v>
      </c>
      <c r="L5" s="163" t="s">
        <v>154</v>
      </c>
      <c r="M5" s="160">
        <v>1</v>
      </c>
      <c r="N5" s="163" t="s">
        <v>154</v>
      </c>
    </row>
    <row r="6" spans="1:20" x14ac:dyDescent="0.2">
      <c r="A6" s="160" t="s">
        <v>40</v>
      </c>
      <c r="B6" s="164" t="s">
        <v>145</v>
      </c>
      <c r="C6" s="160">
        <v>1</v>
      </c>
      <c r="D6" s="160"/>
      <c r="E6" s="160"/>
      <c r="G6" s="160"/>
      <c r="I6" s="160"/>
      <c r="K6" s="160"/>
      <c r="M6" s="160"/>
      <c r="N6" s="162"/>
    </row>
    <row r="7" spans="1:20" x14ac:dyDescent="0.2">
      <c r="A7" s="160" t="s">
        <v>40</v>
      </c>
      <c r="B7" s="164" t="s">
        <v>146</v>
      </c>
      <c r="C7" s="160">
        <v>1</v>
      </c>
      <c r="D7" s="160"/>
      <c r="E7" s="160">
        <v>1</v>
      </c>
      <c r="F7" s="163" t="s">
        <v>155</v>
      </c>
      <c r="G7" s="160">
        <v>1</v>
      </c>
      <c r="H7" s="163" t="s">
        <v>155</v>
      </c>
      <c r="I7" s="160">
        <v>1</v>
      </c>
      <c r="J7" s="163" t="s">
        <v>155</v>
      </c>
      <c r="K7" s="160">
        <v>1</v>
      </c>
      <c r="L7" s="163" t="s">
        <v>155</v>
      </c>
      <c r="M7" s="160">
        <v>1</v>
      </c>
      <c r="N7" s="163" t="s">
        <v>155</v>
      </c>
    </row>
    <row r="8" spans="1:20" x14ac:dyDescent="0.2">
      <c r="A8" s="160" t="s">
        <v>40</v>
      </c>
      <c r="B8" s="164" t="s">
        <v>211</v>
      </c>
      <c r="C8" s="160">
        <v>1</v>
      </c>
      <c r="D8" s="160"/>
      <c r="E8" s="160"/>
      <c r="F8" s="163"/>
      <c r="G8" s="160"/>
      <c r="H8" s="163"/>
      <c r="I8" s="160"/>
      <c r="J8" s="163"/>
      <c r="K8" s="160"/>
      <c r="L8" s="163"/>
      <c r="M8" s="160"/>
      <c r="N8" s="163"/>
    </row>
    <row r="9" spans="1:20" x14ac:dyDescent="0.2">
      <c r="A9" s="160" t="s">
        <v>40</v>
      </c>
      <c r="B9" s="164" t="s">
        <v>149</v>
      </c>
      <c r="C9" s="160">
        <v>3</v>
      </c>
      <c r="D9" s="160"/>
      <c r="E9" s="160">
        <v>3</v>
      </c>
      <c r="F9" s="163" t="s">
        <v>173</v>
      </c>
      <c r="G9" s="160">
        <v>3</v>
      </c>
      <c r="H9" s="163" t="s">
        <v>173</v>
      </c>
      <c r="I9" s="160">
        <v>3</v>
      </c>
      <c r="J9" s="163" t="s">
        <v>173</v>
      </c>
      <c r="K9" s="160">
        <v>3</v>
      </c>
      <c r="L9" s="163" t="s">
        <v>173</v>
      </c>
      <c r="M9" s="160">
        <v>3</v>
      </c>
      <c r="N9" s="163" t="s">
        <v>173</v>
      </c>
    </row>
    <row r="10" spans="1:20" x14ac:dyDescent="0.2">
      <c r="A10" s="160" t="s">
        <v>40</v>
      </c>
      <c r="B10" s="164" t="s">
        <v>234</v>
      </c>
      <c r="C10">
        <v>1</v>
      </c>
      <c r="E10">
        <v>1</v>
      </c>
      <c r="F10" s="163" t="s">
        <v>156</v>
      </c>
      <c r="G10">
        <v>1</v>
      </c>
      <c r="H10" s="163" t="s">
        <v>156</v>
      </c>
      <c r="I10">
        <v>1</v>
      </c>
      <c r="J10" s="163" t="s">
        <v>156</v>
      </c>
      <c r="K10">
        <v>1</v>
      </c>
      <c r="L10" s="163" t="s">
        <v>156</v>
      </c>
      <c r="M10">
        <v>1</v>
      </c>
      <c r="N10" s="163" t="s">
        <v>156</v>
      </c>
    </row>
    <row r="11" spans="1:20" x14ac:dyDescent="0.2">
      <c r="A11" s="160" t="s">
        <v>40</v>
      </c>
      <c r="B11" s="164" t="s">
        <v>235</v>
      </c>
      <c r="C11">
        <v>1</v>
      </c>
      <c r="N11" s="162"/>
    </row>
    <row r="12" spans="1:20" x14ac:dyDescent="0.2">
      <c r="A12" s="160" t="s">
        <v>40</v>
      </c>
      <c r="B12" s="164" t="s">
        <v>236</v>
      </c>
      <c r="C12">
        <v>1</v>
      </c>
      <c r="E12">
        <v>1</v>
      </c>
      <c r="F12" s="163" t="s">
        <v>157</v>
      </c>
      <c r="G12">
        <v>1</v>
      </c>
      <c r="H12" s="163" t="s">
        <v>157</v>
      </c>
      <c r="I12">
        <v>1</v>
      </c>
      <c r="J12" s="163" t="s">
        <v>157</v>
      </c>
      <c r="K12">
        <v>1</v>
      </c>
      <c r="L12" s="163" t="s">
        <v>157</v>
      </c>
      <c r="M12">
        <v>1</v>
      </c>
      <c r="N12" s="163" t="s">
        <v>157</v>
      </c>
    </row>
    <row r="13" spans="1:20" x14ac:dyDescent="0.2">
      <c r="A13" s="160" t="s">
        <v>40</v>
      </c>
      <c r="B13" s="164" t="s">
        <v>237</v>
      </c>
      <c r="C13">
        <v>1</v>
      </c>
      <c r="E13">
        <v>1</v>
      </c>
      <c r="F13" s="163" t="s">
        <v>239</v>
      </c>
      <c r="G13">
        <v>1</v>
      </c>
      <c r="H13" s="163" t="s">
        <v>239</v>
      </c>
      <c r="I13">
        <v>1</v>
      </c>
      <c r="J13" s="163" t="s">
        <v>239</v>
      </c>
      <c r="K13">
        <v>1</v>
      </c>
      <c r="L13" s="163" t="s">
        <v>239</v>
      </c>
      <c r="M13">
        <v>1</v>
      </c>
      <c r="N13" s="163" t="s">
        <v>239</v>
      </c>
    </row>
    <row r="14" spans="1:20" x14ac:dyDescent="0.2">
      <c r="A14" s="160" t="s">
        <v>40</v>
      </c>
      <c r="B14" s="164" t="s">
        <v>150</v>
      </c>
      <c r="C14">
        <v>1</v>
      </c>
      <c r="E14">
        <v>1</v>
      </c>
      <c r="F14" s="163" t="s">
        <v>158</v>
      </c>
      <c r="G14">
        <v>1</v>
      </c>
      <c r="H14" s="163" t="s">
        <v>158</v>
      </c>
      <c r="I14">
        <v>1</v>
      </c>
      <c r="J14" s="163" t="s">
        <v>158</v>
      </c>
      <c r="K14">
        <v>1</v>
      </c>
      <c r="L14" s="163" t="s">
        <v>158</v>
      </c>
      <c r="M14">
        <v>1</v>
      </c>
      <c r="N14" s="163" t="s">
        <v>158</v>
      </c>
    </row>
    <row r="15" spans="1:20" x14ac:dyDescent="0.2">
      <c r="A15" s="160" t="s">
        <v>40</v>
      </c>
      <c r="B15" s="164" t="s">
        <v>151</v>
      </c>
      <c r="C15">
        <v>1</v>
      </c>
      <c r="E15">
        <v>1</v>
      </c>
      <c r="F15" s="163" t="s">
        <v>159</v>
      </c>
      <c r="G15">
        <v>1</v>
      </c>
      <c r="H15" s="163" t="s">
        <v>159</v>
      </c>
      <c r="I15">
        <v>1</v>
      </c>
      <c r="J15" s="163" t="s">
        <v>159</v>
      </c>
      <c r="K15">
        <v>1</v>
      </c>
      <c r="L15" s="163" t="s">
        <v>159</v>
      </c>
      <c r="M15">
        <v>1</v>
      </c>
      <c r="N15" s="163" t="s">
        <v>159</v>
      </c>
    </row>
    <row r="16" spans="1:20" x14ac:dyDescent="0.2">
      <c r="A16" s="160" t="s">
        <v>40</v>
      </c>
      <c r="B16" s="164" t="s">
        <v>152</v>
      </c>
      <c r="C16">
        <v>5</v>
      </c>
      <c r="E16">
        <v>5</v>
      </c>
      <c r="F16" s="163" t="s">
        <v>160</v>
      </c>
      <c r="G16">
        <v>5</v>
      </c>
      <c r="H16" s="163" t="s">
        <v>160</v>
      </c>
      <c r="I16">
        <v>1</v>
      </c>
      <c r="J16" s="163" t="s">
        <v>160</v>
      </c>
      <c r="K16">
        <v>1</v>
      </c>
      <c r="L16" s="163" t="s">
        <v>160</v>
      </c>
      <c r="M16">
        <v>1</v>
      </c>
      <c r="N16" s="163" t="s">
        <v>160</v>
      </c>
    </row>
    <row r="17" spans="1:14" x14ac:dyDescent="0.2">
      <c r="A17" s="160" t="s">
        <v>40</v>
      </c>
      <c r="B17" s="164" t="s">
        <v>193</v>
      </c>
      <c r="C17" s="160">
        <v>1</v>
      </c>
      <c r="D17" s="160"/>
      <c r="E17" s="160">
        <v>1</v>
      </c>
      <c r="F17" s="163" t="s">
        <v>161</v>
      </c>
      <c r="G17" s="160">
        <v>1</v>
      </c>
      <c r="H17" s="163" t="s">
        <v>161</v>
      </c>
      <c r="I17" s="160">
        <v>2</v>
      </c>
      <c r="J17" s="163" t="s">
        <v>161</v>
      </c>
      <c r="K17" s="160">
        <v>2</v>
      </c>
      <c r="L17" s="163" t="s">
        <v>161</v>
      </c>
      <c r="M17" s="160">
        <v>2</v>
      </c>
      <c r="N17" s="163" t="s">
        <v>161</v>
      </c>
    </row>
    <row r="18" spans="1:14" x14ac:dyDescent="0.2">
      <c r="A18" s="160" t="s">
        <v>40</v>
      </c>
      <c r="B18" s="164" t="s">
        <v>194</v>
      </c>
      <c r="C18" s="160">
        <v>1</v>
      </c>
      <c r="D18" s="160"/>
      <c r="E18" s="160">
        <v>1</v>
      </c>
      <c r="F18" s="163" t="s">
        <v>162</v>
      </c>
      <c r="G18" s="160">
        <v>1</v>
      </c>
      <c r="H18" s="163" t="s">
        <v>162</v>
      </c>
      <c r="I18" s="160">
        <v>2</v>
      </c>
      <c r="J18" s="163" t="s">
        <v>162</v>
      </c>
      <c r="K18" s="160">
        <v>2</v>
      </c>
      <c r="L18" s="163" t="s">
        <v>162</v>
      </c>
      <c r="M18" s="160">
        <v>2</v>
      </c>
      <c r="N18" s="163" t="s">
        <v>162</v>
      </c>
    </row>
    <row r="19" spans="1:14" x14ac:dyDescent="0.2">
      <c r="A19" s="160" t="s">
        <v>40</v>
      </c>
      <c r="B19" s="164" t="s">
        <v>195</v>
      </c>
      <c r="C19" s="160">
        <v>1</v>
      </c>
      <c r="D19" s="160"/>
      <c r="E19" s="160">
        <v>1</v>
      </c>
      <c r="F19" s="163" t="s">
        <v>163</v>
      </c>
      <c r="G19" s="160">
        <v>1</v>
      </c>
      <c r="H19" s="163" t="s">
        <v>163</v>
      </c>
      <c r="I19" s="160">
        <v>2</v>
      </c>
      <c r="J19" s="163" t="s">
        <v>163</v>
      </c>
      <c r="K19" s="160">
        <v>2</v>
      </c>
      <c r="L19" s="163" t="s">
        <v>163</v>
      </c>
      <c r="M19" s="160">
        <v>2</v>
      </c>
      <c r="N19" s="163" t="s">
        <v>163</v>
      </c>
    </row>
    <row r="20" spans="1:14" x14ac:dyDescent="0.2">
      <c r="A20" s="160" t="s">
        <v>40</v>
      </c>
      <c r="B20" s="164" t="s">
        <v>196</v>
      </c>
      <c r="C20" s="160">
        <v>1</v>
      </c>
      <c r="D20" s="160"/>
      <c r="E20" s="160">
        <v>1</v>
      </c>
      <c r="F20" s="163" t="s">
        <v>164</v>
      </c>
      <c r="G20" s="160">
        <v>1</v>
      </c>
      <c r="H20" s="163" t="s">
        <v>164</v>
      </c>
      <c r="I20" s="160">
        <v>2</v>
      </c>
      <c r="J20" s="163" t="s">
        <v>164</v>
      </c>
      <c r="K20" s="160">
        <v>2</v>
      </c>
      <c r="L20" s="163" t="s">
        <v>164</v>
      </c>
      <c r="M20" s="160">
        <v>2</v>
      </c>
      <c r="N20" s="163" t="s">
        <v>164</v>
      </c>
    </row>
    <row r="21" spans="1:14" x14ac:dyDescent="0.2">
      <c r="A21" s="160" t="s">
        <v>40</v>
      </c>
      <c r="B21" s="164" t="s">
        <v>197</v>
      </c>
      <c r="C21" s="160">
        <v>1</v>
      </c>
      <c r="D21" s="160"/>
      <c r="E21" s="160">
        <v>1</v>
      </c>
      <c r="F21" s="163" t="s">
        <v>165</v>
      </c>
      <c r="G21" s="160">
        <v>1</v>
      </c>
      <c r="H21" s="163" t="s">
        <v>165</v>
      </c>
      <c r="I21" s="160">
        <v>2</v>
      </c>
      <c r="J21" s="163" t="s">
        <v>165</v>
      </c>
      <c r="K21" s="160">
        <v>2</v>
      </c>
      <c r="L21" s="163" t="s">
        <v>165</v>
      </c>
      <c r="M21" s="160">
        <v>2</v>
      </c>
      <c r="N21" s="163" t="s">
        <v>165</v>
      </c>
    </row>
    <row r="22" spans="1:14" x14ac:dyDescent="0.2">
      <c r="A22" s="160" t="s">
        <v>40</v>
      </c>
      <c r="B22" s="164" t="s">
        <v>198</v>
      </c>
      <c r="C22" s="160">
        <v>1</v>
      </c>
      <c r="D22" s="160"/>
      <c r="E22" s="160">
        <v>1</v>
      </c>
      <c r="F22" s="163" t="s">
        <v>166</v>
      </c>
      <c r="G22" s="160">
        <v>1</v>
      </c>
      <c r="H22" s="163" t="s">
        <v>166</v>
      </c>
      <c r="I22" s="160">
        <v>2</v>
      </c>
      <c r="J22" s="163" t="s">
        <v>166</v>
      </c>
      <c r="K22" s="160">
        <v>2</v>
      </c>
      <c r="L22" s="163" t="s">
        <v>166</v>
      </c>
      <c r="M22" s="160">
        <v>2</v>
      </c>
      <c r="N22" s="163" t="s">
        <v>166</v>
      </c>
    </row>
    <row r="23" spans="1:14" x14ac:dyDescent="0.2">
      <c r="A23" s="160" t="s">
        <v>40</v>
      </c>
      <c r="B23" s="164" t="s">
        <v>199</v>
      </c>
      <c r="C23" s="160">
        <v>1</v>
      </c>
      <c r="D23" s="160"/>
      <c r="E23" s="160">
        <v>1</v>
      </c>
      <c r="F23" s="163" t="s">
        <v>167</v>
      </c>
      <c r="G23" s="160">
        <v>1</v>
      </c>
      <c r="H23" s="163" t="s">
        <v>167</v>
      </c>
      <c r="I23" s="160">
        <v>2</v>
      </c>
      <c r="J23" s="163" t="s">
        <v>167</v>
      </c>
      <c r="K23" s="160">
        <v>2</v>
      </c>
      <c r="L23" s="163" t="s">
        <v>167</v>
      </c>
      <c r="M23" s="160">
        <v>2</v>
      </c>
      <c r="N23" s="163" t="s">
        <v>167</v>
      </c>
    </row>
    <row r="24" spans="1:14" x14ac:dyDescent="0.2">
      <c r="A24" s="160" t="s">
        <v>40</v>
      </c>
      <c r="B24" s="164" t="s">
        <v>200</v>
      </c>
      <c r="C24" s="160">
        <v>1</v>
      </c>
      <c r="D24" s="160"/>
      <c r="E24" s="160">
        <v>1</v>
      </c>
      <c r="F24" s="163" t="s">
        <v>168</v>
      </c>
      <c r="G24" s="160">
        <v>1</v>
      </c>
      <c r="H24" s="163" t="s">
        <v>168</v>
      </c>
      <c r="I24" s="160">
        <v>2</v>
      </c>
      <c r="J24" s="163" t="s">
        <v>168</v>
      </c>
      <c r="K24" s="160">
        <v>2</v>
      </c>
      <c r="L24" s="163" t="s">
        <v>168</v>
      </c>
      <c r="M24" s="160">
        <v>2</v>
      </c>
      <c r="N24" s="163" t="s">
        <v>168</v>
      </c>
    </row>
    <row r="25" spans="1:14" x14ac:dyDescent="0.2">
      <c r="A25" s="160" t="s">
        <v>40</v>
      </c>
      <c r="B25" s="164" t="s">
        <v>201</v>
      </c>
      <c r="C25" s="160">
        <v>1</v>
      </c>
      <c r="D25" s="160"/>
      <c r="E25" s="160">
        <v>1</v>
      </c>
      <c r="F25" s="163" t="s">
        <v>169</v>
      </c>
      <c r="G25" s="160">
        <v>1</v>
      </c>
      <c r="H25" s="163" t="s">
        <v>169</v>
      </c>
      <c r="I25" s="160">
        <v>2</v>
      </c>
      <c r="J25" s="163" t="s">
        <v>169</v>
      </c>
      <c r="K25" s="160">
        <v>2</v>
      </c>
      <c r="L25" s="163" t="s">
        <v>169</v>
      </c>
      <c r="M25" s="160">
        <v>2</v>
      </c>
      <c r="N25" s="163" t="s">
        <v>169</v>
      </c>
    </row>
    <row r="26" spans="1:14" x14ac:dyDescent="0.2">
      <c r="A26" s="160" t="s">
        <v>40</v>
      </c>
      <c r="B26" s="164" t="s">
        <v>202</v>
      </c>
      <c r="C26" s="160">
        <v>1</v>
      </c>
      <c r="D26" s="160"/>
      <c r="E26" s="160">
        <v>1</v>
      </c>
      <c r="F26" s="163" t="s">
        <v>170</v>
      </c>
      <c r="G26" s="160">
        <v>1</v>
      </c>
      <c r="H26" s="163" t="s">
        <v>170</v>
      </c>
      <c r="I26" s="160">
        <v>2</v>
      </c>
      <c r="J26" s="163" t="s">
        <v>170</v>
      </c>
      <c r="K26" s="160">
        <v>2</v>
      </c>
      <c r="L26" s="163" t="s">
        <v>170</v>
      </c>
      <c r="M26" s="160">
        <v>2</v>
      </c>
      <c r="N26" s="163" t="s">
        <v>170</v>
      </c>
    </row>
    <row r="27" spans="1:14" x14ac:dyDescent="0.2">
      <c r="A27" s="160" t="s">
        <v>40</v>
      </c>
      <c r="B27" s="164" t="s">
        <v>203</v>
      </c>
      <c r="C27" s="160">
        <v>1</v>
      </c>
      <c r="D27" s="160"/>
      <c r="E27" s="160">
        <v>1</v>
      </c>
      <c r="F27" s="163" t="s">
        <v>171</v>
      </c>
      <c r="G27" s="160">
        <v>1</v>
      </c>
      <c r="H27" s="163" t="s">
        <v>171</v>
      </c>
      <c r="I27" s="160">
        <v>2</v>
      </c>
      <c r="J27" s="163" t="s">
        <v>171</v>
      </c>
      <c r="K27" s="160">
        <v>2</v>
      </c>
      <c r="L27" s="163" t="s">
        <v>171</v>
      </c>
      <c r="M27" s="160">
        <v>2</v>
      </c>
      <c r="N27" s="163" t="s">
        <v>171</v>
      </c>
    </row>
    <row r="28" spans="1:14" x14ac:dyDescent="0.2">
      <c r="A28" s="160" t="s">
        <v>40</v>
      </c>
      <c r="B28" s="164" t="s">
        <v>204</v>
      </c>
      <c r="C28" s="160">
        <v>1</v>
      </c>
      <c r="D28" s="160"/>
      <c r="E28" s="160">
        <v>1</v>
      </c>
      <c r="F28" s="163" t="s">
        <v>172</v>
      </c>
      <c r="G28" s="160">
        <v>1</v>
      </c>
      <c r="H28" s="163" t="s">
        <v>172</v>
      </c>
      <c r="I28" s="160">
        <v>2</v>
      </c>
      <c r="J28" s="163" t="s">
        <v>172</v>
      </c>
      <c r="K28" s="160">
        <v>2</v>
      </c>
      <c r="L28" s="163" t="s">
        <v>172</v>
      </c>
      <c r="M28" s="160">
        <v>2</v>
      </c>
      <c r="N28" s="163" t="s">
        <v>172</v>
      </c>
    </row>
    <row r="29" spans="1:14" x14ac:dyDescent="0.2">
      <c r="A29" s="160" t="s">
        <v>672</v>
      </c>
      <c r="B29" s="161" t="s">
        <v>295</v>
      </c>
      <c r="C29" s="161">
        <v>4</v>
      </c>
      <c r="D29" s="161"/>
      <c r="E29" s="161">
        <v>4</v>
      </c>
      <c r="F29" s="163" t="s">
        <v>393</v>
      </c>
      <c r="G29" s="161">
        <v>4</v>
      </c>
      <c r="H29" s="163" t="s">
        <v>393</v>
      </c>
      <c r="I29" s="161">
        <v>4</v>
      </c>
      <c r="J29" s="163" t="s">
        <v>393</v>
      </c>
      <c r="K29" s="161">
        <v>4</v>
      </c>
      <c r="L29" s="163" t="s">
        <v>393</v>
      </c>
      <c r="M29" s="161">
        <v>4</v>
      </c>
      <c r="N29" s="163" t="s">
        <v>393</v>
      </c>
    </row>
    <row r="30" spans="1:14" x14ac:dyDescent="0.2">
      <c r="A30" s="160" t="s">
        <v>672</v>
      </c>
      <c r="B30" s="161" t="s">
        <v>296</v>
      </c>
      <c r="C30" s="161">
        <v>4</v>
      </c>
      <c r="D30" s="161"/>
      <c r="E30" s="161">
        <v>4</v>
      </c>
      <c r="F30" s="163" t="s">
        <v>255</v>
      </c>
      <c r="G30" s="161">
        <v>4</v>
      </c>
      <c r="H30" s="163" t="s">
        <v>255</v>
      </c>
      <c r="I30" s="161">
        <v>4</v>
      </c>
      <c r="J30" s="163" t="s">
        <v>255</v>
      </c>
      <c r="K30" s="161">
        <v>4</v>
      </c>
      <c r="L30" s="163" t="s">
        <v>255</v>
      </c>
      <c r="M30" s="161">
        <v>4</v>
      </c>
      <c r="N30" s="163" t="s">
        <v>255</v>
      </c>
    </row>
    <row r="31" spans="1:14" x14ac:dyDescent="0.2">
      <c r="A31" s="160" t="s">
        <v>672</v>
      </c>
      <c r="B31" s="161" t="s">
        <v>297</v>
      </c>
      <c r="C31" s="161">
        <v>4</v>
      </c>
      <c r="D31" s="161"/>
      <c r="E31" s="161">
        <v>4</v>
      </c>
      <c r="F31" s="163" t="s">
        <v>35</v>
      </c>
      <c r="G31" s="161">
        <v>4</v>
      </c>
      <c r="H31" s="163" t="s">
        <v>35</v>
      </c>
      <c r="I31" s="161">
        <v>4</v>
      </c>
      <c r="J31" s="163" t="s">
        <v>35</v>
      </c>
      <c r="K31" s="161">
        <v>4</v>
      </c>
      <c r="L31" s="163" t="s">
        <v>35</v>
      </c>
      <c r="M31" s="161">
        <v>4</v>
      </c>
      <c r="N31" s="163" t="s">
        <v>35</v>
      </c>
    </row>
    <row r="32" spans="1:14" x14ac:dyDescent="0.2">
      <c r="A32" s="160" t="s">
        <v>672</v>
      </c>
      <c r="B32" s="161" t="s">
        <v>298</v>
      </c>
      <c r="C32" s="161">
        <v>4</v>
      </c>
      <c r="D32" s="161"/>
      <c r="E32" s="161">
        <v>4</v>
      </c>
      <c r="F32" s="163" t="s">
        <v>70</v>
      </c>
      <c r="G32" s="161">
        <v>4</v>
      </c>
      <c r="H32" s="163" t="s">
        <v>70</v>
      </c>
      <c r="I32" s="161">
        <v>4</v>
      </c>
      <c r="J32" s="163" t="s">
        <v>70</v>
      </c>
      <c r="K32" s="161">
        <v>4</v>
      </c>
      <c r="L32" s="163" t="s">
        <v>70</v>
      </c>
      <c r="M32" s="161">
        <v>4</v>
      </c>
      <c r="N32" s="163" t="s">
        <v>70</v>
      </c>
    </row>
    <row r="33" spans="1:19" x14ac:dyDescent="0.2">
      <c r="A33" s="160" t="s">
        <v>672</v>
      </c>
      <c r="B33" s="161" t="s">
        <v>299</v>
      </c>
      <c r="C33" s="161">
        <v>4</v>
      </c>
      <c r="D33" s="161"/>
      <c r="E33" s="161">
        <v>4</v>
      </c>
      <c r="F33" s="163" t="s">
        <v>71</v>
      </c>
      <c r="G33" s="161">
        <v>4</v>
      </c>
      <c r="H33" s="163" t="s">
        <v>71</v>
      </c>
      <c r="I33" s="161">
        <v>4</v>
      </c>
      <c r="J33" s="163" t="s">
        <v>71</v>
      </c>
      <c r="K33" s="161">
        <v>4</v>
      </c>
      <c r="L33" s="163" t="s">
        <v>71</v>
      </c>
      <c r="M33" s="161">
        <v>4</v>
      </c>
      <c r="N33" s="163" t="s">
        <v>71</v>
      </c>
    </row>
    <row r="34" spans="1:19" x14ac:dyDescent="0.2">
      <c r="A34" s="160" t="s">
        <v>672</v>
      </c>
      <c r="B34" s="161" t="s">
        <v>294</v>
      </c>
      <c r="C34" s="161">
        <v>4</v>
      </c>
      <c r="D34" s="161"/>
      <c r="E34" s="161">
        <v>4</v>
      </c>
      <c r="F34" s="166" t="s">
        <v>34</v>
      </c>
      <c r="G34" s="161">
        <v>4</v>
      </c>
      <c r="H34" s="166" t="s">
        <v>34</v>
      </c>
      <c r="I34" s="161">
        <v>4</v>
      </c>
      <c r="J34" s="166" t="s">
        <v>392</v>
      </c>
      <c r="K34" s="161">
        <v>4</v>
      </c>
      <c r="L34" s="166" t="s">
        <v>392</v>
      </c>
      <c r="M34" s="161">
        <v>4</v>
      </c>
      <c r="N34" s="166" t="s">
        <v>34</v>
      </c>
    </row>
    <row r="35" spans="1:19" x14ac:dyDescent="0.2">
      <c r="A35" s="160" t="s">
        <v>672</v>
      </c>
      <c r="B35" s="161" t="s">
        <v>468</v>
      </c>
      <c r="C35" s="161">
        <v>4</v>
      </c>
      <c r="D35" s="161"/>
      <c r="E35" s="161"/>
      <c r="F35" s="163"/>
      <c r="G35" s="161"/>
      <c r="H35" s="163"/>
      <c r="I35" s="161"/>
      <c r="J35" s="163"/>
      <c r="K35" s="161"/>
      <c r="L35" s="163"/>
      <c r="M35" s="161"/>
      <c r="N35" s="163"/>
    </row>
    <row r="36" spans="1:19" x14ac:dyDescent="0.2">
      <c r="A36" s="160" t="s">
        <v>672</v>
      </c>
      <c r="B36" s="161" t="s">
        <v>469</v>
      </c>
      <c r="C36" s="161">
        <v>4</v>
      </c>
      <c r="D36" s="161"/>
      <c r="E36" s="161"/>
      <c r="F36" s="163"/>
      <c r="G36" s="161"/>
      <c r="H36" s="163"/>
      <c r="I36" s="161"/>
      <c r="J36" s="163"/>
      <c r="K36" s="161"/>
      <c r="L36" s="163"/>
      <c r="M36" s="161"/>
      <c r="N36" s="163"/>
    </row>
    <row r="37" spans="1:19" x14ac:dyDescent="0.2">
      <c r="A37" s="160" t="s">
        <v>673</v>
      </c>
      <c r="B37" s="164" t="s">
        <v>304</v>
      </c>
      <c r="C37" s="161">
        <v>4</v>
      </c>
      <c r="D37" s="161"/>
      <c r="E37" s="161">
        <v>4</v>
      </c>
      <c r="F37" s="163" t="s">
        <v>176</v>
      </c>
      <c r="G37" s="161">
        <v>4</v>
      </c>
      <c r="H37" s="163" t="s">
        <v>176</v>
      </c>
      <c r="I37" s="161">
        <v>4</v>
      </c>
      <c r="J37" s="163" t="s">
        <v>176</v>
      </c>
      <c r="K37" s="161">
        <v>4</v>
      </c>
      <c r="L37" s="163" t="s">
        <v>176</v>
      </c>
      <c r="M37" s="161">
        <v>4</v>
      </c>
      <c r="N37" s="163" t="s">
        <v>176</v>
      </c>
    </row>
    <row r="38" spans="1:19" x14ac:dyDescent="0.2">
      <c r="A38" s="160" t="s">
        <v>673</v>
      </c>
      <c r="B38" s="161" t="s">
        <v>305</v>
      </c>
      <c r="C38" s="161">
        <v>4</v>
      </c>
      <c r="D38" s="161"/>
      <c r="E38" s="161">
        <v>4</v>
      </c>
      <c r="F38" s="163" t="s">
        <v>177</v>
      </c>
      <c r="G38" s="161">
        <v>4</v>
      </c>
      <c r="H38" s="163" t="s">
        <v>177</v>
      </c>
      <c r="I38" s="161">
        <v>4</v>
      </c>
      <c r="J38" s="163" t="s">
        <v>177</v>
      </c>
      <c r="K38" s="161">
        <v>4</v>
      </c>
      <c r="L38" s="163" t="s">
        <v>177</v>
      </c>
      <c r="M38" s="161">
        <v>4</v>
      </c>
      <c r="N38" s="163" t="s">
        <v>177</v>
      </c>
    </row>
    <row r="39" spans="1:19" x14ac:dyDescent="0.2">
      <c r="A39" s="160" t="s">
        <v>673</v>
      </c>
      <c r="B39" s="161" t="s">
        <v>306</v>
      </c>
      <c r="C39" s="161">
        <v>4</v>
      </c>
      <c r="D39" s="161"/>
      <c r="E39" s="161">
        <v>4</v>
      </c>
      <c r="F39" s="163" t="s">
        <v>37</v>
      </c>
      <c r="G39" s="161">
        <v>4</v>
      </c>
      <c r="H39" s="163" t="s">
        <v>37</v>
      </c>
      <c r="I39" s="161">
        <v>4</v>
      </c>
      <c r="J39" s="163" t="s">
        <v>37</v>
      </c>
      <c r="K39" s="161">
        <v>4</v>
      </c>
      <c r="L39" s="163" t="s">
        <v>37</v>
      </c>
      <c r="M39" s="161">
        <v>4</v>
      </c>
      <c r="N39" s="163" t="s">
        <v>37</v>
      </c>
    </row>
    <row r="40" spans="1:19" x14ac:dyDescent="0.2">
      <c r="A40" s="160" t="s">
        <v>673</v>
      </c>
      <c r="B40" s="165" t="s">
        <v>515</v>
      </c>
      <c r="C40" s="161">
        <v>4</v>
      </c>
      <c r="D40" s="161"/>
      <c r="E40" s="161"/>
      <c r="F40" s="163"/>
      <c r="G40" s="161"/>
      <c r="H40" s="163"/>
      <c r="I40" s="161"/>
      <c r="J40" s="163"/>
      <c r="K40" s="161"/>
      <c r="L40" s="163"/>
      <c r="M40" s="161"/>
      <c r="N40" s="163"/>
      <c r="S40" s="160"/>
    </row>
    <row r="41" spans="1:19" x14ac:dyDescent="0.2">
      <c r="A41" s="160" t="s">
        <v>673</v>
      </c>
      <c r="B41" s="161" t="s">
        <v>307</v>
      </c>
      <c r="C41" s="161">
        <v>4</v>
      </c>
      <c r="D41" s="161"/>
      <c r="E41" s="161">
        <v>4</v>
      </c>
      <c r="F41" s="163" t="s">
        <v>178</v>
      </c>
      <c r="G41" s="161">
        <v>4</v>
      </c>
      <c r="H41" s="163" t="s">
        <v>178</v>
      </c>
      <c r="I41" s="161">
        <v>4</v>
      </c>
      <c r="J41" s="163" t="s">
        <v>178</v>
      </c>
      <c r="K41" s="161">
        <v>4</v>
      </c>
      <c r="L41" s="163" t="s">
        <v>178</v>
      </c>
      <c r="M41" s="161">
        <v>4</v>
      </c>
      <c r="N41" s="163" t="s">
        <v>178</v>
      </c>
    </row>
    <row r="42" spans="1:19" x14ac:dyDescent="0.2">
      <c r="A42" s="160" t="s">
        <v>673</v>
      </c>
      <c r="B42" s="161" t="s">
        <v>308</v>
      </c>
      <c r="C42" s="161">
        <v>4</v>
      </c>
      <c r="D42" s="161"/>
      <c r="E42" s="161">
        <v>4</v>
      </c>
      <c r="F42" s="163" t="s">
        <v>27</v>
      </c>
      <c r="G42" s="161">
        <v>4</v>
      </c>
      <c r="H42" s="163" t="s">
        <v>27</v>
      </c>
      <c r="I42" s="161">
        <v>4</v>
      </c>
      <c r="J42" s="163" t="s">
        <v>27</v>
      </c>
      <c r="K42" s="161">
        <v>4</v>
      </c>
      <c r="L42" s="163" t="s">
        <v>27</v>
      </c>
      <c r="M42" s="161">
        <v>4</v>
      </c>
      <c r="N42" s="163" t="s">
        <v>27</v>
      </c>
    </row>
    <row r="43" spans="1:19" x14ac:dyDescent="0.2">
      <c r="A43" s="160" t="s">
        <v>673</v>
      </c>
      <c r="B43" s="161" t="s">
        <v>309</v>
      </c>
      <c r="C43" s="161">
        <v>4</v>
      </c>
      <c r="D43" s="161"/>
      <c r="E43" s="161">
        <v>4</v>
      </c>
      <c r="F43" s="163" t="s">
        <v>302</v>
      </c>
      <c r="G43" s="161">
        <v>4</v>
      </c>
      <c r="H43" s="163" t="s">
        <v>302</v>
      </c>
      <c r="I43" s="161">
        <v>4</v>
      </c>
      <c r="J43" s="163" t="s">
        <v>302</v>
      </c>
      <c r="K43" s="161">
        <v>4</v>
      </c>
      <c r="L43" s="163" t="s">
        <v>302</v>
      </c>
      <c r="M43" s="161">
        <v>4</v>
      </c>
      <c r="N43" s="163" t="s">
        <v>302</v>
      </c>
    </row>
    <row r="44" spans="1:19" x14ac:dyDescent="0.2">
      <c r="A44" s="160" t="s">
        <v>673</v>
      </c>
      <c r="B44" s="161" t="s">
        <v>310</v>
      </c>
      <c r="C44" s="161">
        <v>4</v>
      </c>
      <c r="D44" s="161"/>
      <c r="E44" s="161">
        <v>4</v>
      </c>
      <c r="F44" s="163" t="s">
        <v>300</v>
      </c>
      <c r="G44" s="161">
        <v>4</v>
      </c>
      <c r="H44" s="163" t="s">
        <v>300</v>
      </c>
      <c r="I44" s="161">
        <v>4</v>
      </c>
      <c r="J44" s="163" t="s">
        <v>300</v>
      </c>
      <c r="K44" s="161">
        <v>4</v>
      </c>
      <c r="L44" s="163" t="s">
        <v>300</v>
      </c>
      <c r="M44" s="161">
        <v>4</v>
      </c>
      <c r="N44" s="163" t="s">
        <v>300</v>
      </c>
    </row>
    <row r="45" spans="1:19" x14ac:dyDescent="0.2">
      <c r="A45" s="160" t="s">
        <v>673</v>
      </c>
      <c r="B45" s="161" t="s">
        <v>311</v>
      </c>
      <c r="C45" s="161">
        <v>4</v>
      </c>
      <c r="D45" s="161"/>
      <c r="E45" s="161">
        <v>4</v>
      </c>
      <c r="F45" s="163" t="s">
        <v>179</v>
      </c>
      <c r="G45" s="161">
        <v>4</v>
      </c>
      <c r="H45" s="163" t="s">
        <v>179</v>
      </c>
      <c r="I45" s="161">
        <v>4</v>
      </c>
      <c r="J45" s="163" t="s">
        <v>179</v>
      </c>
      <c r="K45" s="161">
        <v>4</v>
      </c>
      <c r="L45" s="163" t="s">
        <v>179</v>
      </c>
      <c r="M45" s="161">
        <v>4</v>
      </c>
      <c r="N45" s="163" t="s">
        <v>179</v>
      </c>
    </row>
    <row r="46" spans="1:19" x14ac:dyDescent="0.2">
      <c r="A46" s="160" t="s">
        <v>673</v>
      </c>
      <c r="B46" s="161" t="s">
        <v>312</v>
      </c>
      <c r="C46" s="161">
        <v>4</v>
      </c>
      <c r="D46" s="161"/>
      <c r="E46" s="161">
        <v>4</v>
      </c>
      <c r="F46" s="163" t="s">
        <v>49</v>
      </c>
      <c r="G46" s="161">
        <v>4</v>
      </c>
      <c r="H46" s="163" t="s">
        <v>49</v>
      </c>
      <c r="I46" s="161">
        <v>4</v>
      </c>
      <c r="J46" s="163" t="s">
        <v>49</v>
      </c>
      <c r="K46" s="161">
        <v>4</v>
      </c>
      <c r="L46" s="163" t="s">
        <v>49</v>
      </c>
      <c r="M46" s="161">
        <v>4</v>
      </c>
      <c r="N46" s="163" t="s">
        <v>49</v>
      </c>
    </row>
    <row r="47" spans="1:19" x14ac:dyDescent="0.2">
      <c r="A47" s="160" t="s">
        <v>673</v>
      </c>
      <c r="B47" s="161" t="s">
        <v>582</v>
      </c>
      <c r="C47" s="161">
        <v>4</v>
      </c>
      <c r="D47" s="161"/>
      <c r="E47" s="161">
        <v>4</v>
      </c>
      <c r="F47" s="163" t="s">
        <v>301</v>
      </c>
      <c r="G47" s="161">
        <v>4</v>
      </c>
      <c r="H47" s="163" t="s">
        <v>301</v>
      </c>
      <c r="I47" s="161">
        <v>4</v>
      </c>
      <c r="J47" s="163" t="s">
        <v>301</v>
      </c>
      <c r="K47" s="161">
        <v>4</v>
      </c>
      <c r="L47" s="163" t="s">
        <v>301</v>
      </c>
      <c r="M47" s="161">
        <v>4</v>
      </c>
      <c r="N47" s="163" t="s">
        <v>301</v>
      </c>
    </row>
    <row r="48" spans="1:19" x14ac:dyDescent="0.2">
      <c r="A48" s="160" t="s">
        <v>673</v>
      </c>
      <c r="B48" s="164" t="s">
        <v>344</v>
      </c>
      <c r="C48" s="161">
        <v>4</v>
      </c>
      <c r="D48" s="161"/>
      <c r="E48" s="161">
        <v>4</v>
      </c>
      <c r="F48" s="163" t="s">
        <v>72</v>
      </c>
      <c r="G48" s="161">
        <v>4</v>
      </c>
      <c r="H48" s="163" t="s">
        <v>72</v>
      </c>
      <c r="I48" s="161">
        <v>4</v>
      </c>
      <c r="J48" s="163" t="s">
        <v>72</v>
      </c>
      <c r="K48" s="161">
        <v>4</v>
      </c>
      <c r="L48" s="163" t="s">
        <v>72</v>
      </c>
      <c r="M48" s="161">
        <v>4</v>
      </c>
      <c r="N48" s="163" t="s">
        <v>72</v>
      </c>
    </row>
    <row r="49" spans="1:19" x14ac:dyDescent="0.2">
      <c r="A49" s="160" t="s">
        <v>673</v>
      </c>
      <c r="B49" s="161" t="s">
        <v>313</v>
      </c>
      <c r="C49" s="161">
        <v>4</v>
      </c>
      <c r="D49" s="161"/>
      <c r="E49" s="161">
        <v>4</v>
      </c>
      <c r="F49" s="163" t="s">
        <v>395</v>
      </c>
      <c r="G49" s="161">
        <v>4</v>
      </c>
      <c r="H49" s="163" t="s">
        <v>395</v>
      </c>
      <c r="I49" s="161">
        <v>4</v>
      </c>
      <c r="J49" s="163" t="s">
        <v>395</v>
      </c>
      <c r="K49" s="161">
        <v>4</v>
      </c>
      <c r="L49" s="163" t="s">
        <v>395</v>
      </c>
      <c r="M49" s="161">
        <v>4</v>
      </c>
      <c r="N49" s="163" t="s">
        <v>395</v>
      </c>
    </row>
    <row r="50" spans="1:19" x14ac:dyDescent="0.2">
      <c r="A50" s="160" t="s">
        <v>673</v>
      </c>
      <c r="B50" s="160" t="s">
        <v>541</v>
      </c>
      <c r="C50" s="161">
        <v>4</v>
      </c>
      <c r="D50" s="161"/>
      <c r="E50" s="161"/>
      <c r="F50" s="163"/>
      <c r="G50" s="161"/>
      <c r="H50" s="163"/>
      <c r="I50" s="161"/>
      <c r="J50" s="163"/>
      <c r="K50" s="161"/>
      <c r="L50" s="163"/>
      <c r="M50" s="161"/>
      <c r="N50" s="163"/>
      <c r="S50" s="160"/>
    </row>
    <row r="51" spans="1:19" x14ac:dyDescent="0.2">
      <c r="A51" s="160" t="s">
        <v>673</v>
      </c>
      <c r="B51" s="161" t="s">
        <v>314</v>
      </c>
      <c r="C51" s="161">
        <v>4</v>
      </c>
      <c r="D51" s="161"/>
      <c r="E51" s="161">
        <v>4</v>
      </c>
      <c r="F51" s="163" t="s">
        <v>303</v>
      </c>
      <c r="G51" s="161">
        <v>4</v>
      </c>
      <c r="H51" s="163" t="s">
        <v>303</v>
      </c>
      <c r="I51" s="161">
        <v>4</v>
      </c>
      <c r="J51" s="163" t="s">
        <v>303</v>
      </c>
      <c r="K51" s="161">
        <v>4</v>
      </c>
      <c r="L51" s="163" t="s">
        <v>303</v>
      </c>
      <c r="M51" s="161">
        <v>4</v>
      </c>
      <c r="N51" s="163" t="s">
        <v>303</v>
      </c>
    </row>
    <row r="52" spans="1:19" x14ac:dyDescent="0.2">
      <c r="A52" s="160" t="s">
        <v>673</v>
      </c>
      <c r="B52" s="164" t="s">
        <v>335</v>
      </c>
      <c r="C52" s="161">
        <v>4</v>
      </c>
      <c r="D52" s="161"/>
      <c r="E52" s="161">
        <v>4</v>
      </c>
      <c r="F52" s="163" t="s">
        <v>67</v>
      </c>
      <c r="G52" s="161">
        <v>4</v>
      </c>
      <c r="H52" s="163" t="s">
        <v>67</v>
      </c>
      <c r="I52" s="161">
        <v>4</v>
      </c>
      <c r="J52" s="163" t="s">
        <v>67</v>
      </c>
      <c r="K52" s="161">
        <v>4</v>
      </c>
      <c r="L52" s="163" t="s">
        <v>67</v>
      </c>
      <c r="M52" s="161">
        <v>4</v>
      </c>
      <c r="N52" s="163" t="s">
        <v>67</v>
      </c>
    </row>
    <row r="53" spans="1:19" x14ac:dyDescent="0.2">
      <c r="A53" s="160" t="s">
        <v>673</v>
      </c>
      <c r="B53" s="164" t="s">
        <v>336</v>
      </c>
      <c r="C53" s="161">
        <v>4</v>
      </c>
      <c r="D53" s="161"/>
      <c r="E53" s="161">
        <v>4</v>
      </c>
      <c r="F53" s="163" t="s">
        <v>4</v>
      </c>
      <c r="G53" s="161">
        <v>4</v>
      </c>
      <c r="H53" s="163" t="s">
        <v>4</v>
      </c>
      <c r="I53" s="161">
        <v>4</v>
      </c>
      <c r="J53" s="163" t="s">
        <v>4</v>
      </c>
      <c r="K53" s="161">
        <v>4</v>
      </c>
      <c r="L53" s="163" t="s">
        <v>4</v>
      </c>
      <c r="M53" s="161">
        <v>4</v>
      </c>
      <c r="N53" s="163" t="s">
        <v>4</v>
      </c>
    </row>
    <row r="54" spans="1:19" x14ac:dyDescent="0.2">
      <c r="A54" s="160" t="s">
        <v>673</v>
      </c>
      <c r="B54" s="164" t="s">
        <v>337</v>
      </c>
      <c r="C54" s="161">
        <v>4</v>
      </c>
      <c r="D54" s="161"/>
      <c r="E54" s="161">
        <v>4</v>
      </c>
      <c r="F54" s="163" t="s">
        <v>5</v>
      </c>
      <c r="G54" s="161">
        <v>4</v>
      </c>
      <c r="H54" s="163" t="s">
        <v>5</v>
      </c>
      <c r="I54" s="161">
        <v>4</v>
      </c>
      <c r="J54" s="163" t="s">
        <v>5</v>
      </c>
      <c r="K54" s="161">
        <v>4</v>
      </c>
      <c r="L54" s="163" t="s">
        <v>5</v>
      </c>
      <c r="M54" s="161">
        <v>4</v>
      </c>
      <c r="N54" s="163" t="s">
        <v>5</v>
      </c>
    </row>
    <row r="55" spans="1:19" x14ac:dyDescent="0.2">
      <c r="A55" s="160" t="s">
        <v>673</v>
      </c>
      <c r="B55" s="135" t="s">
        <v>338</v>
      </c>
      <c r="C55" s="161">
        <v>4</v>
      </c>
      <c r="D55" s="161"/>
      <c r="E55" s="161">
        <v>4</v>
      </c>
      <c r="F55" s="163" t="s">
        <v>74</v>
      </c>
      <c r="G55" s="161">
        <v>4</v>
      </c>
      <c r="H55" s="163" t="s">
        <v>74</v>
      </c>
      <c r="I55" s="161">
        <v>4</v>
      </c>
      <c r="J55" s="163" t="s">
        <v>74</v>
      </c>
      <c r="K55" s="161">
        <v>4</v>
      </c>
      <c r="L55" s="163" t="s">
        <v>74</v>
      </c>
      <c r="M55" s="161">
        <v>4</v>
      </c>
      <c r="N55" s="163" t="s">
        <v>74</v>
      </c>
    </row>
    <row r="56" spans="1:19" x14ac:dyDescent="0.2">
      <c r="A56" s="160" t="s">
        <v>673</v>
      </c>
      <c r="B56" s="165" t="s">
        <v>339</v>
      </c>
      <c r="C56" s="161">
        <v>4</v>
      </c>
      <c r="D56" s="161"/>
      <c r="E56" s="161">
        <v>4</v>
      </c>
      <c r="F56" s="163" t="s">
        <v>334</v>
      </c>
      <c r="G56" s="161">
        <v>4</v>
      </c>
      <c r="H56" s="163" t="s">
        <v>334</v>
      </c>
      <c r="I56" s="161">
        <v>4</v>
      </c>
      <c r="J56" s="163" t="s">
        <v>334</v>
      </c>
      <c r="K56" s="161">
        <v>4</v>
      </c>
      <c r="L56" s="163" t="s">
        <v>334</v>
      </c>
      <c r="M56" s="161">
        <v>4</v>
      </c>
      <c r="N56" s="163" t="s">
        <v>334</v>
      </c>
    </row>
    <row r="57" spans="1:19" x14ac:dyDescent="0.2">
      <c r="A57" s="160" t="s">
        <v>673</v>
      </c>
      <c r="B57" s="165" t="s">
        <v>342</v>
      </c>
      <c r="C57" s="161">
        <v>4</v>
      </c>
      <c r="D57" s="161"/>
      <c r="E57" s="161">
        <v>4</v>
      </c>
      <c r="F57" s="163" t="s">
        <v>397</v>
      </c>
      <c r="G57" s="161">
        <v>4</v>
      </c>
      <c r="H57" s="163" t="s">
        <v>397</v>
      </c>
      <c r="I57" s="161">
        <v>4</v>
      </c>
      <c r="J57" s="163" t="s">
        <v>397</v>
      </c>
      <c r="K57" s="161">
        <v>4</v>
      </c>
      <c r="L57" s="163" t="s">
        <v>397</v>
      </c>
      <c r="M57" s="161">
        <v>4</v>
      </c>
      <c r="N57" s="163" t="s">
        <v>397</v>
      </c>
    </row>
    <row r="58" spans="1:19" x14ac:dyDescent="0.2">
      <c r="A58" s="160" t="s">
        <v>673</v>
      </c>
      <c r="B58" s="164" t="s">
        <v>343</v>
      </c>
      <c r="C58" s="161">
        <v>4</v>
      </c>
      <c r="D58" s="161"/>
      <c r="E58" s="161">
        <v>4</v>
      </c>
      <c r="F58" s="163" t="s">
        <v>135</v>
      </c>
      <c r="G58" s="161">
        <v>4</v>
      </c>
      <c r="H58" s="163" t="s">
        <v>135</v>
      </c>
      <c r="I58" s="161">
        <v>4</v>
      </c>
      <c r="J58" s="163" t="s">
        <v>135</v>
      </c>
      <c r="K58" s="161">
        <v>4</v>
      </c>
      <c r="L58" s="163" t="s">
        <v>135</v>
      </c>
      <c r="M58" s="161">
        <v>4</v>
      </c>
      <c r="N58" s="163" t="s">
        <v>135</v>
      </c>
    </row>
    <row r="59" spans="1:19" x14ac:dyDescent="0.2">
      <c r="A59" s="160" t="s">
        <v>673</v>
      </c>
      <c r="B59" s="164" t="s">
        <v>345</v>
      </c>
      <c r="C59" s="161">
        <v>4</v>
      </c>
      <c r="D59" s="161"/>
      <c r="E59" s="161">
        <v>4</v>
      </c>
      <c r="F59" s="163" t="s">
        <v>68</v>
      </c>
      <c r="G59" s="161">
        <v>4</v>
      </c>
      <c r="H59" s="163" t="s">
        <v>68</v>
      </c>
      <c r="I59" s="161">
        <v>4</v>
      </c>
      <c r="J59" s="163" t="s">
        <v>68</v>
      </c>
      <c r="K59" s="161">
        <v>4</v>
      </c>
      <c r="L59" s="163" t="s">
        <v>68</v>
      </c>
      <c r="M59" s="161">
        <v>4</v>
      </c>
      <c r="N59" s="163" t="s">
        <v>68</v>
      </c>
    </row>
    <row r="60" spans="1:19" x14ac:dyDescent="0.2">
      <c r="A60" s="160" t="s">
        <v>673</v>
      </c>
      <c r="B60" s="164" t="s">
        <v>346</v>
      </c>
      <c r="C60" s="161">
        <v>4</v>
      </c>
      <c r="D60" s="161"/>
      <c r="E60" s="161">
        <v>4</v>
      </c>
      <c r="F60" s="163" t="s">
        <v>187</v>
      </c>
      <c r="G60" s="161">
        <v>4</v>
      </c>
      <c r="H60" s="163" t="s">
        <v>187</v>
      </c>
      <c r="I60" s="161">
        <v>4</v>
      </c>
      <c r="J60" s="163" t="s">
        <v>187</v>
      </c>
      <c r="K60" s="161">
        <v>4</v>
      </c>
      <c r="L60" s="163" t="s">
        <v>187</v>
      </c>
      <c r="M60" s="161">
        <v>4</v>
      </c>
      <c r="N60" s="163" t="s">
        <v>187</v>
      </c>
    </row>
    <row r="61" spans="1:19" x14ac:dyDescent="0.2">
      <c r="A61" s="160" t="s">
        <v>673</v>
      </c>
      <c r="B61" s="164" t="s">
        <v>347</v>
      </c>
      <c r="C61" s="161">
        <v>4</v>
      </c>
      <c r="D61" s="161"/>
      <c r="E61" s="161">
        <v>4</v>
      </c>
      <c r="F61" s="163" t="s">
        <v>188</v>
      </c>
      <c r="G61" s="161">
        <v>4</v>
      </c>
      <c r="H61" s="163" t="s">
        <v>188</v>
      </c>
      <c r="I61" s="161">
        <v>4</v>
      </c>
      <c r="J61" s="163" t="s">
        <v>188</v>
      </c>
      <c r="K61" s="161">
        <v>4</v>
      </c>
      <c r="L61" s="163" t="s">
        <v>188</v>
      </c>
      <c r="M61" s="161">
        <v>4</v>
      </c>
      <c r="N61" s="163" t="s">
        <v>188</v>
      </c>
    </row>
    <row r="62" spans="1:19" x14ac:dyDescent="0.2">
      <c r="A62" s="160" t="s">
        <v>673</v>
      </c>
      <c r="B62" s="165" t="s">
        <v>340</v>
      </c>
      <c r="C62" s="161">
        <v>4</v>
      </c>
      <c r="D62" s="161"/>
      <c r="E62" s="161">
        <v>4</v>
      </c>
      <c r="F62" s="163" t="s">
        <v>6</v>
      </c>
      <c r="G62" s="161">
        <v>4</v>
      </c>
      <c r="H62" s="163" t="s">
        <v>6</v>
      </c>
      <c r="I62" s="161">
        <v>4</v>
      </c>
      <c r="J62" s="163" t="s">
        <v>6</v>
      </c>
      <c r="K62" s="161">
        <v>4</v>
      </c>
      <c r="L62" s="163" t="s">
        <v>6</v>
      </c>
      <c r="M62" s="161">
        <v>4</v>
      </c>
      <c r="N62" s="163" t="s">
        <v>6</v>
      </c>
    </row>
    <row r="63" spans="1:19" x14ac:dyDescent="0.2">
      <c r="A63" s="160" t="s">
        <v>673</v>
      </c>
      <c r="B63" s="165" t="s">
        <v>341</v>
      </c>
      <c r="C63" s="161">
        <v>4</v>
      </c>
      <c r="D63" s="161"/>
      <c r="E63" s="161">
        <v>4</v>
      </c>
      <c r="F63" s="163" t="s">
        <v>7</v>
      </c>
      <c r="G63" s="161">
        <v>4</v>
      </c>
      <c r="H63" s="163" t="s">
        <v>7</v>
      </c>
      <c r="I63" s="161">
        <v>4</v>
      </c>
      <c r="J63" s="163" t="s">
        <v>7</v>
      </c>
      <c r="K63" s="161">
        <v>4</v>
      </c>
      <c r="L63" s="163" t="s">
        <v>7</v>
      </c>
      <c r="M63" s="161">
        <v>4</v>
      </c>
      <c r="N63" s="163" t="s">
        <v>7</v>
      </c>
    </row>
    <row r="64" spans="1:19" x14ac:dyDescent="0.2">
      <c r="A64" s="160" t="s">
        <v>674</v>
      </c>
      <c r="B64" s="164" t="s">
        <v>318</v>
      </c>
      <c r="C64" s="161">
        <v>4</v>
      </c>
      <c r="D64" s="161"/>
      <c r="E64" s="161">
        <v>4</v>
      </c>
      <c r="F64" s="163" t="s">
        <v>180</v>
      </c>
      <c r="G64" s="161">
        <v>4</v>
      </c>
      <c r="H64" s="163" t="s">
        <v>180</v>
      </c>
      <c r="I64" s="161">
        <v>4</v>
      </c>
      <c r="J64" s="163" t="s">
        <v>180</v>
      </c>
      <c r="K64" s="161">
        <v>4</v>
      </c>
      <c r="L64" s="163" t="s">
        <v>180</v>
      </c>
      <c r="M64" s="161">
        <v>4</v>
      </c>
      <c r="N64" s="163" t="s">
        <v>180</v>
      </c>
    </row>
    <row r="65" spans="1:19" x14ac:dyDescent="0.2">
      <c r="A65" s="160" t="s">
        <v>674</v>
      </c>
      <c r="B65" s="164" t="s">
        <v>319</v>
      </c>
      <c r="C65" s="161">
        <v>4</v>
      </c>
      <c r="D65" s="161"/>
      <c r="E65" s="161">
        <v>4</v>
      </c>
      <c r="F65" s="163" t="s">
        <v>181</v>
      </c>
      <c r="G65" s="161">
        <v>4</v>
      </c>
      <c r="H65" s="163" t="s">
        <v>181</v>
      </c>
      <c r="I65" s="161">
        <v>4</v>
      </c>
      <c r="J65" s="163" t="s">
        <v>181</v>
      </c>
      <c r="K65" s="161">
        <v>4</v>
      </c>
      <c r="L65" s="163" t="s">
        <v>181</v>
      </c>
      <c r="M65" s="161">
        <v>4</v>
      </c>
      <c r="N65" s="163" t="s">
        <v>181</v>
      </c>
    </row>
    <row r="66" spans="1:19" x14ac:dyDescent="0.2">
      <c r="A66" s="160" t="s">
        <v>674</v>
      </c>
      <c r="B66" s="161" t="s">
        <v>320</v>
      </c>
      <c r="C66" s="161">
        <v>4</v>
      </c>
      <c r="D66" s="161"/>
      <c r="E66" s="161">
        <v>4</v>
      </c>
      <c r="F66" s="163" t="s">
        <v>36</v>
      </c>
      <c r="G66" s="161">
        <v>4</v>
      </c>
      <c r="H66" s="163" t="s">
        <v>36</v>
      </c>
      <c r="I66" s="161">
        <v>4</v>
      </c>
      <c r="J66" s="163" t="s">
        <v>36</v>
      </c>
      <c r="K66" s="161">
        <v>4</v>
      </c>
      <c r="L66" s="163" t="s">
        <v>36</v>
      </c>
      <c r="M66" s="161">
        <v>4</v>
      </c>
      <c r="N66" s="163" t="s">
        <v>36</v>
      </c>
    </row>
    <row r="67" spans="1:19" x14ac:dyDescent="0.2">
      <c r="A67" s="160" t="s">
        <v>674</v>
      </c>
      <c r="B67" s="161" t="s">
        <v>471</v>
      </c>
      <c r="C67" s="161">
        <v>4</v>
      </c>
      <c r="D67" s="161"/>
      <c r="E67" s="161"/>
      <c r="F67" s="163"/>
      <c r="G67" s="161"/>
      <c r="H67" s="163"/>
      <c r="I67" s="161"/>
      <c r="J67" s="163"/>
      <c r="K67" s="161"/>
      <c r="L67" s="163"/>
      <c r="M67" s="161"/>
      <c r="N67" s="163"/>
    </row>
    <row r="68" spans="1:19" x14ac:dyDescent="0.2">
      <c r="A68" s="160" t="s">
        <v>674</v>
      </c>
      <c r="B68" s="164" t="s">
        <v>321</v>
      </c>
      <c r="C68" s="161">
        <v>4</v>
      </c>
      <c r="D68" s="161"/>
      <c r="E68" s="161">
        <v>4</v>
      </c>
      <c r="F68" s="163" t="s">
        <v>396</v>
      </c>
      <c r="G68" s="161">
        <v>4</v>
      </c>
      <c r="H68" s="163" t="s">
        <v>396</v>
      </c>
      <c r="I68" s="161">
        <v>4</v>
      </c>
      <c r="J68" s="163" t="s">
        <v>396</v>
      </c>
      <c r="K68" s="161">
        <v>4</v>
      </c>
      <c r="L68" s="163" t="s">
        <v>396</v>
      </c>
      <c r="M68" s="161">
        <v>4</v>
      </c>
      <c r="N68" s="163" t="s">
        <v>396</v>
      </c>
    </row>
    <row r="69" spans="1:19" x14ac:dyDescent="0.2">
      <c r="A69" s="160" t="s">
        <v>674</v>
      </c>
      <c r="B69" s="164" t="s">
        <v>322</v>
      </c>
      <c r="C69" s="161">
        <v>4</v>
      </c>
      <c r="D69" s="161"/>
      <c r="E69" s="161">
        <v>4</v>
      </c>
      <c r="F69" s="163" t="s">
        <v>182</v>
      </c>
      <c r="G69" s="161">
        <v>4</v>
      </c>
      <c r="H69" s="163" t="s">
        <v>182</v>
      </c>
      <c r="I69" s="161">
        <v>4</v>
      </c>
      <c r="J69" s="163" t="s">
        <v>182</v>
      </c>
      <c r="K69" s="161">
        <v>4</v>
      </c>
      <c r="L69" s="163" t="s">
        <v>182</v>
      </c>
      <c r="M69" s="161">
        <v>4</v>
      </c>
      <c r="N69" s="163" t="s">
        <v>182</v>
      </c>
    </row>
    <row r="70" spans="1:19" x14ac:dyDescent="0.2">
      <c r="A70" s="160" t="s">
        <v>674</v>
      </c>
      <c r="B70" s="161" t="s">
        <v>323</v>
      </c>
      <c r="C70" s="161">
        <v>4</v>
      </c>
      <c r="D70" s="161"/>
      <c r="E70" s="161">
        <v>4</v>
      </c>
      <c r="F70" s="163" t="s">
        <v>26</v>
      </c>
      <c r="G70" s="161">
        <v>4</v>
      </c>
      <c r="H70" s="163" t="s">
        <v>26</v>
      </c>
      <c r="I70" s="161">
        <v>4</v>
      </c>
      <c r="J70" s="163" t="s">
        <v>26</v>
      </c>
      <c r="K70" s="161">
        <v>4</v>
      </c>
      <c r="L70" s="163" t="s">
        <v>26</v>
      </c>
      <c r="M70" s="161">
        <v>4</v>
      </c>
      <c r="N70" s="163" t="s">
        <v>26</v>
      </c>
    </row>
    <row r="71" spans="1:19" x14ac:dyDescent="0.2">
      <c r="A71" s="160" t="s">
        <v>674</v>
      </c>
      <c r="B71" s="161" t="s">
        <v>324</v>
      </c>
      <c r="C71" s="161">
        <v>4</v>
      </c>
      <c r="D71" s="161"/>
      <c r="E71" s="161">
        <v>4</v>
      </c>
      <c r="F71" s="163" t="s">
        <v>185</v>
      </c>
      <c r="G71" s="161">
        <v>4</v>
      </c>
      <c r="H71" s="163" t="s">
        <v>185</v>
      </c>
      <c r="I71" s="161">
        <v>4</v>
      </c>
      <c r="J71" s="163" t="s">
        <v>185</v>
      </c>
      <c r="K71" s="161">
        <v>4</v>
      </c>
      <c r="L71" s="163" t="s">
        <v>185</v>
      </c>
      <c r="M71" s="161">
        <v>4</v>
      </c>
      <c r="N71" s="163" t="s">
        <v>185</v>
      </c>
    </row>
    <row r="72" spans="1:19" x14ac:dyDescent="0.2">
      <c r="A72" s="160" t="s">
        <v>674</v>
      </c>
      <c r="B72" s="161" t="s">
        <v>325</v>
      </c>
      <c r="C72" s="161">
        <v>4</v>
      </c>
      <c r="D72" s="161"/>
      <c r="E72" s="161">
        <v>4</v>
      </c>
      <c r="F72" s="163" t="s">
        <v>186</v>
      </c>
      <c r="G72" s="161">
        <v>4</v>
      </c>
      <c r="H72" s="163" t="s">
        <v>186</v>
      </c>
      <c r="I72" s="161">
        <v>4</v>
      </c>
      <c r="J72" s="163" t="s">
        <v>186</v>
      </c>
      <c r="K72" s="161">
        <v>4</v>
      </c>
      <c r="L72" s="163" t="s">
        <v>186</v>
      </c>
      <c r="M72" s="161">
        <v>4</v>
      </c>
      <c r="N72" s="163" t="s">
        <v>186</v>
      </c>
    </row>
    <row r="73" spans="1:19" x14ac:dyDescent="0.2">
      <c r="A73" s="160" t="s">
        <v>674</v>
      </c>
      <c r="B73" s="164" t="s">
        <v>326</v>
      </c>
      <c r="C73" s="161">
        <v>4</v>
      </c>
      <c r="D73" s="161"/>
      <c r="E73" s="161">
        <v>4</v>
      </c>
      <c r="F73" s="163" t="s">
        <v>246</v>
      </c>
      <c r="G73" s="161">
        <v>4</v>
      </c>
      <c r="H73" s="163" t="s">
        <v>246</v>
      </c>
      <c r="I73" s="161">
        <v>4</v>
      </c>
      <c r="J73" s="163" t="s">
        <v>246</v>
      </c>
      <c r="K73" s="161">
        <v>4</v>
      </c>
      <c r="L73" s="163" t="s">
        <v>246</v>
      </c>
      <c r="M73" s="161">
        <v>4</v>
      </c>
      <c r="N73" s="163" t="s">
        <v>246</v>
      </c>
    </row>
    <row r="74" spans="1:19" x14ac:dyDescent="0.2">
      <c r="A74" s="160" t="s">
        <v>674</v>
      </c>
      <c r="B74" s="135" t="s">
        <v>327</v>
      </c>
      <c r="C74" s="161">
        <v>4</v>
      </c>
      <c r="D74" s="161"/>
      <c r="E74" s="161">
        <v>4</v>
      </c>
      <c r="F74" s="163" t="s">
        <v>247</v>
      </c>
      <c r="G74" s="161">
        <v>4</v>
      </c>
      <c r="H74" s="163" t="s">
        <v>247</v>
      </c>
      <c r="I74" s="161">
        <v>4</v>
      </c>
      <c r="J74" s="163" t="s">
        <v>247</v>
      </c>
      <c r="K74" s="161">
        <v>4</v>
      </c>
      <c r="L74" s="163" t="s">
        <v>247</v>
      </c>
      <c r="M74" s="161">
        <v>4</v>
      </c>
      <c r="N74" s="163" t="s">
        <v>247</v>
      </c>
    </row>
    <row r="75" spans="1:19" x14ac:dyDescent="0.2">
      <c r="A75" s="160" t="s">
        <v>674</v>
      </c>
      <c r="B75" s="160" t="s">
        <v>540</v>
      </c>
      <c r="C75" s="161">
        <v>4</v>
      </c>
      <c r="D75" s="161"/>
      <c r="E75" s="161"/>
      <c r="F75" s="163"/>
      <c r="G75" s="161"/>
      <c r="H75" s="163"/>
      <c r="I75" s="161"/>
      <c r="J75" s="163"/>
      <c r="K75" s="161"/>
      <c r="L75" s="163"/>
      <c r="M75" s="161"/>
      <c r="N75" s="163"/>
      <c r="S75" s="160"/>
    </row>
    <row r="76" spans="1:19" x14ac:dyDescent="0.2">
      <c r="A76" s="160" t="s">
        <v>674</v>
      </c>
      <c r="B76" s="161" t="s">
        <v>470</v>
      </c>
      <c r="C76" s="161">
        <v>4</v>
      </c>
      <c r="D76" s="161"/>
      <c r="E76" s="161"/>
      <c r="F76" s="163"/>
      <c r="G76" s="161"/>
      <c r="H76" s="163"/>
      <c r="I76" s="161"/>
      <c r="J76" s="163"/>
      <c r="K76" s="161"/>
      <c r="L76" s="163"/>
      <c r="M76" s="161"/>
      <c r="N76" s="163"/>
    </row>
    <row r="77" spans="1:19" x14ac:dyDescent="0.2">
      <c r="A77" s="160" t="s">
        <v>673</v>
      </c>
      <c r="B77" s="161" t="s">
        <v>516</v>
      </c>
      <c r="C77" s="161">
        <v>4</v>
      </c>
      <c r="D77" s="161"/>
      <c r="E77" s="161"/>
      <c r="F77" s="163"/>
      <c r="G77" s="161"/>
      <c r="H77" s="163"/>
      <c r="I77" s="161"/>
      <c r="J77" s="163"/>
      <c r="K77" s="161"/>
      <c r="L77" s="163"/>
      <c r="M77" s="161"/>
      <c r="N77" s="163"/>
      <c r="S77" s="160"/>
    </row>
    <row r="78" spans="1:19" x14ac:dyDescent="0.2">
      <c r="A78" s="160" t="s">
        <v>674</v>
      </c>
      <c r="B78" s="164" t="s">
        <v>328</v>
      </c>
      <c r="C78" s="161">
        <v>4</v>
      </c>
      <c r="D78" s="161"/>
      <c r="E78" s="161">
        <v>4</v>
      </c>
      <c r="F78" s="163" t="s">
        <v>61</v>
      </c>
      <c r="G78" s="161">
        <v>4</v>
      </c>
      <c r="H78" s="163" t="s">
        <v>61</v>
      </c>
      <c r="I78" s="161">
        <v>4</v>
      </c>
      <c r="J78" s="163" t="s">
        <v>61</v>
      </c>
      <c r="K78" s="161">
        <v>4</v>
      </c>
      <c r="L78" s="163" t="s">
        <v>61</v>
      </c>
      <c r="M78" s="161">
        <v>4</v>
      </c>
      <c r="N78" s="163" t="s">
        <v>61</v>
      </c>
    </row>
    <row r="79" spans="1:19" x14ac:dyDescent="0.2">
      <c r="A79" s="160" t="s">
        <v>670</v>
      </c>
      <c r="B79" s="164" t="s">
        <v>370</v>
      </c>
      <c r="C79" s="161">
        <v>4</v>
      </c>
      <c r="D79" s="161"/>
      <c r="E79" s="161">
        <v>4</v>
      </c>
      <c r="F79" s="163" t="s">
        <v>190</v>
      </c>
      <c r="G79" s="161">
        <v>4</v>
      </c>
      <c r="H79" s="163" t="s">
        <v>190</v>
      </c>
      <c r="I79" s="161">
        <v>4</v>
      </c>
      <c r="J79" s="163" t="s">
        <v>190</v>
      </c>
      <c r="K79" s="161">
        <v>4</v>
      </c>
      <c r="L79" s="163" t="s">
        <v>190</v>
      </c>
      <c r="M79" s="161">
        <v>4</v>
      </c>
      <c r="N79" s="163" t="s">
        <v>190</v>
      </c>
    </row>
    <row r="80" spans="1:19" x14ac:dyDescent="0.2">
      <c r="A80" s="160" t="s">
        <v>670</v>
      </c>
      <c r="B80" s="164" t="s">
        <v>371</v>
      </c>
      <c r="C80" s="161">
        <v>4</v>
      </c>
      <c r="D80" s="161"/>
      <c r="E80" s="161">
        <v>4</v>
      </c>
      <c r="F80" s="163" t="s">
        <v>83</v>
      </c>
      <c r="G80" s="161">
        <v>4</v>
      </c>
      <c r="H80" s="163" t="s">
        <v>83</v>
      </c>
      <c r="I80" s="161">
        <v>4</v>
      </c>
      <c r="J80" s="163" t="s">
        <v>83</v>
      </c>
      <c r="K80" s="161">
        <v>4</v>
      </c>
      <c r="L80" s="163" t="s">
        <v>83</v>
      </c>
      <c r="M80" s="161">
        <v>4</v>
      </c>
      <c r="N80" s="163" t="s">
        <v>83</v>
      </c>
    </row>
    <row r="81" spans="1:19" x14ac:dyDescent="0.2">
      <c r="A81" s="160" t="s">
        <v>670</v>
      </c>
      <c r="B81" s="164" t="s">
        <v>372</v>
      </c>
      <c r="C81" s="161">
        <v>4</v>
      </c>
      <c r="D81" s="161"/>
      <c r="E81" s="161">
        <v>4</v>
      </c>
      <c r="F81" s="163" t="s">
        <v>0</v>
      </c>
      <c r="G81" s="161">
        <v>4</v>
      </c>
      <c r="H81" s="163" t="s">
        <v>0</v>
      </c>
      <c r="I81" s="161">
        <v>4</v>
      </c>
      <c r="J81" s="163" t="s">
        <v>0</v>
      </c>
      <c r="K81" s="161">
        <v>4</v>
      </c>
      <c r="L81" s="163" t="s">
        <v>0</v>
      </c>
      <c r="M81" s="161">
        <v>4</v>
      </c>
      <c r="N81" s="163" t="s">
        <v>0</v>
      </c>
    </row>
    <row r="82" spans="1:19" x14ac:dyDescent="0.2">
      <c r="A82" s="160" t="s">
        <v>670</v>
      </c>
      <c r="B82" s="164" t="s">
        <v>373</v>
      </c>
      <c r="C82" s="161">
        <v>4</v>
      </c>
      <c r="D82" s="161"/>
      <c r="E82" s="161">
        <v>4</v>
      </c>
      <c r="F82" s="163" t="s">
        <v>1</v>
      </c>
      <c r="G82" s="161">
        <v>4</v>
      </c>
      <c r="H82" s="163" t="s">
        <v>1</v>
      </c>
      <c r="I82" s="161">
        <v>4</v>
      </c>
      <c r="J82" s="163" t="s">
        <v>1</v>
      </c>
      <c r="K82" s="161">
        <v>4</v>
      </c>
      <c r="L82" s="163" t="s">
        <v>1</v>
      </c>
      <c r="M82" s="161">
        <v>4</v>
      </c>
      <c r="N82" s="163" t="s">
        <v>1</v>
      </c>
    </row>
    <row r="83" spans="1:19" x14ac:dyDescent="0.2">
      <c r="A83" s="160" t="s">
        <v>670</v>
      </c>
      <c r="B83" s="164" t="s">
        <v>578</v>
      </c>
      <c r="C83" s="161">
        <v>4</v>
      </c>
      <c r="D83" s="161"/>
      <c r="E83" s="161"/>
      <c r="F83" s="163"/>
      <c r="G83" s="161"/>
      <c r="H83" s="163"/>
      <c r="I83" s="161"/>
      <c r="J83" s="163"/>
      <c r="K83" s="161"/>
      <c r="L83" s="163"/>
      <c r="M83" s="161"/>
      <c r="N83" s="163"/>
    </row>
    <row r="84" spans="1:19" x14ac:dyDescent="0.2">
      <c r="A84" s="160" t="s">
        <v>670</v>
      </c>
      <c r="B84" s="164" t="s">
        <v>577</v>
      </c>
      <c r="C84" s="161">
        <v>4</v>
      </c>
      <c r="D84" s="161"/>
      <c r="E84" s="161"/>
      <c r="F84" s="163"/>
      <c r="G84" s="161"/>
      <c r="H84" s="163"/>
      <c r="I84" s="161"/>
      <c r="J84" s="163"/>
      <c r="K84" s="161"/>
      <c r="L84" s="163"/>
      <c r="M84" s="161"/>
      <c r="N84" s="163"/>
      <c r="S84" s="160"/>
    </row>
    <row r="85" spans="1:19" x14ac:dyDescent="0.2">
      <c r="A85" s="160" t="s">
        <v>670</v>
      </c>
      <c r="B85" s="164" t="s">
        <v>374</v>
      </c>
      <c r="C85" s="161">
        <v>4</v>
      </c>
      <c r="D85" s="161"/>
      <c r="E85" s="161">
        <v>4</v>
      </c>
      <c r="F85" s="163" t="s">
        <v>191</v>
      </c>
      <c r="G85" s="161">
        <v>4</v>
      </c>
      <c r="H85" s="163" t="s">
        <v>191</v>
      </c>
      <c r="I85" s="161">
        <v>4</v>
      </c>
      <c r="J85" s="163" t="s">
        <v>191</v>
      </c>
      <c r="K85" s="161">
        <v>4</v>
      </c>
      <c r="L85" s="163" t="s">
        <v>191</v>
      </c>
      <c r="M85" s="161">
        <v>4</v>
      </c>
      <c r="N85" s="163" t="s">
        <v>191</v>
      </c>
      <c r="S85" s="160"/>
    </row>
    <row r="86" spans="1:19" x14ac:dyDescent="0.2">
      <c r="A86" s="160" t="s">
        <v>670</v>
      </c>
      <c r="B86" s="164" t="s">
        <v>375</v>
      </c>
      <c r="C86" s="161">
        <v>4</v>
      </c>
      <c r="D86" s="161"/>
      <c r="E86" s="161">
        <v>4</v>
      </c>
      <c r="F86" s="163" t="s">
        <v>2</v>
      </c>
      <c r="G86" s="161">
        <v>4</v>
      </c>
      <c r="H86" s="163" t="s">
        <v>2</v>
      </c>
      <c r="I86" s="161">
        <v>4</v>
      </c>
      <c r="J86" s="163" t="s">
        <v>2</v>
      </c>
      <c r="K86" s="161">
        <v>4</v>
      </c>
      <c r="L86" s="163" t="s">
        <v>2</v>
      </c>
      <c r="M86" s="161">
        <v>4</v>
      </c>
      <c r="N86" s="163" t="s">
        <v>2</v>
      </c>
    </row>
    <row r="87" spans="1:19" x14ac:dyDescent="0.2">
      <c r="A87" s="160" t="s">
        <v>670</v>
      </c>
      <c r="B87" s="164" t="s">
        <v>376</v>
      </c>
      <c r="C87" s="161">
        <v>4</v>
      </c>
      <c r="D87" s="161"/>
      <c r="E87" s="161">
        <v>4</v>
      </c>
      <c r="F87" s="163" t="s">
        <v>69</v>
      </c>
      <c r="G87" s="161">
        <v>4</v>
      </c>
      <c r="H87" s="163" t="s">
        <v>69</v>
      </c>
      <c r="I87" s="161">
        <v>4</v>
      </c>
      <c r="J87" s="163" t="s">
        <v>69</v>
      </c>
      <c r="K87" s="161">
        <v>4</v>
      </c>
      <c r="L87" s="163" t="s">
        <v>69</v>
      </c>
      <c r="M87" s="161">
        <v>4</v>
      </c>
      <c r="N87" s="163" t="s">
        <v>69</v>
      </c>
    </row>
    <row r="88" spans="1:19" x14ac:dyDescent="0.2">
      <c r="A88" s="160" t="s">
        <v>670</v>
      </c>
      <c r="B88" s="164" t="s">
        <v>377</v>
      </c>
      <c r="C88" s="161">
        <v>4</v>
      </c>
      <c r="D88" s="161"/>
      <c r="E88" s="161">
        <v>4</v>
      </c>
      <c r="F88" s="163" t="s">
        <v>192</v>
      </c>
      <c r="G88" s="161">
        <v>4</v>
      </c>
      <c r="H88" s="163" t="s">
        <v>192</v>
      </c>
      <c r="I88" s="161">
        <v>4</v>
      </c>
      <c r="J88" s="163" t="s">
        <v>192</v>
      </c>
      <c r="K88" s="161">
        <v>4</v>
      </c>
      <c r="L88" s="163" t="s">
        <v>192</v>
      </c>
      <c r="M88" s="161">
        <v>4</v>
      </c>
      <c r="N88" s="163" t="s">
        <v>192</v>
      </c>
    </row>
    <row r="89" spans="1:19" x14ac:dyDescent="0.2">
      <c r="A89" s="160" t="s">
        <v>670</v>
      </c>
      <c r="B89" s="164" t="s">
        <v>378</v>
      </c>
      <c r="C89" s="161">
        <v>4</v>
      </c>
      <c r="D89" s="161"/>
      <c r="E89" s="161">
        <v>4</v>
      </c>
      <c r="F89" s="163" t="s">
        <v>3</v>
      </c>
      <c r="G89" s="161">
        <v>4</v>
      </c>
      <c r="H89" s="163" t="s">
        <v>3</v>
      </c>
      <c r="I89" s="161">
        <v>4</v>
      </c>
      <c r="J89" s="163" t="s">
        <v>3</v>
      </c>
      <c r="K89" s="161">
        <v>4</v>
      </c>
      <c r="L89" s="163" t="s">
        <v>3</v>
      </c>
      <c r="M89" s="161">
        <v>4</v>
      </c>
      <c r="N89" s="163" t="s">
        <v>3</v>
      </c>
    </row>
    <row r="90" spans="1:19" x14ac:dyDescent="0.2">
      <c r="A90" s="160" t="s">
        <v>670</v>
      </c>
      <c r="B90" s="164" t="s">
        <v>379</v>
      </c>
      <c r="C90" s="161">
        <v>4</v>
      </c>
      <c r="D90" s="161"/>
      <c r="E90" s="161">
        <v>4</v>
      </c>
      <c r="F90" s="163" t="s">
        <v>368</v>
      </c>
      <c r="G90" s="161">
        <v>4</v>
      </c>
      <c r="H90" s="163" t="s">
        <v>368</v>
      </c>
      <c r="I90" s="161">
        <v>4</v>
      </c>
      <c r="J90" s="163" t="s">
        <v>368</v>
      </c>
      <c r="K90" s="161">
        <v>4</v>
      </c>
      <c r="L90" s="163" t="s">
        <v>368</v>
      </c>
      <c r="M90" s="161">
        <v>4</v>
      </c>
      <c r="N90" s="163" t="s">
        <v>368</v>
      </c>
    </row>
    <row r="91" spans="1:19" x14ac:dyDescent="0.2">
      <c r="A91" s="160" t="s">
        <v>670</v>
      </c>
      <c r="B91" s="164" t="s">
        <v>380</v>
      </c>
      <c r="C91" s="161">
        <v>4</v>
      </c>
      <c r="D91" s="161"/>
      <c r="E91" s="161">
        <v>4</v>
      </c>
      <c r="F91" s="163" t="s">
        <v>394</v>
      </c>
      <c r="G91" s="161">
        <v>4</v>
      </c>
      <c r="H91" s="163" t="s">
        <v>394</v>
      </c>
      <c r="I91" s="161">
        <v>4</v>
      </c>
      <c r="J91" s="163" t="s">
        <v>394</v>
      </c>
      <c r="K91" s="161">
        <v>4</v>
      </c>
      <c r="L91" s="163" t="s">
        <v>394</v>
      </c>
      <c r="M91" s="161">
        <v>4</v>
      </c>
      <c r="N91" s="163" t="s">
        <v>394</v>
      </c>
    </row>
    <row r="92" spans="1:19" x14ac:dyDescent="0.2">
      <c r="A92" s="160" t="s">
        <v>670</v>
      </c>
      <c r="B92" s="164" t="s">
        <v>381</v>
      </c>
      <c r="C92" s="161">
        <v>4</v>
      </c>
      <c r="D92" s="161"/>
      <c r="E92" s="161">
        <v>4</v>
      </c>
      <c r="F92" s="163" t="s">
        <v>369</v>
      </c>
      <c r="G92" s="161">
        <v>4</v>
      </c>
      <c r="H92" s="163" t="s">
        <v>369</v>
      </c>
      <c r="I92" s="161">
        <v>4</v>
      </c>
      <c r="J92" s="163" t="s">
        <v>369</v>
      </c>
      <c r="K92" s="161">
        <v>4</v>
      </c>
      <c r="L92" s="163" t="s">
        <v>369</v>
      </c>
      <c r="M92" s="161">
        <v>4</v>
      </c>
      <c r="N92" s="163" t="s">
        <v>369</v>
      </c>
    </row>
    <row r="93" spans="1:19" x14ac:dyDescent="0.2">
      <c r="A93" s="160" t="s">
        <v>670</v>
      </c>
      <c r="B93" s="160" t="s">
        <v>544</v>
      </c>
      <c r="C93" s="161">
        <v>4</v>
      </c>
      <c r="D93" s="161"/>
      <c r="E93" s="161"/>
      <c r="F93" s="163"/>
      <c r="G93" s="161"/>
      <c r="H93" s="163"/>
      <c r="I93" s="161"/>
      <c r="J93" s="163"/>
      <c r="K93" s="161"/>
      <c r="L93" s="163"/>
      <c r="M93" s="161"/>
      <c r="N93" s="163"/>
    </row>
    <row r="94" spans="1:19" x14ac:dyDescent="0.2">
      <c r="A94" s="160" t="s">
        <v>670</v>
      </c>
      <c r="B94" s="164" t="s">
        <v>355</v>
      </c>
      <c r="C94" s="161">
        <v>4</v>
      </c>
      <c r="D94" s="161"/>
      <c r="E94" s="161">
        <v>4</v>
      </c>
      <c r="F94" s="163" t="s">
        <v>51</v>
      </c>
      <c r="G94" s="161">
        <v>4</v>
      </c>
      <c r="H94" s="163" t="s">
        <v>51</v>
      </c>
      <c r="I94" s="161">
        <v>4</v>
      </c>
      <c r="J94" s="163" t="s">
        <v>51</v>
      </c>
      <c r="K94" s="161">
        <v>4</v>
      </c>
      <c r="L94" s="163" t="s">
        <v>51</v>
      </c>
      <c r="M94" s="161">
        <v>4</v>
      </c>
      <c r="N94" s="163" t="s">
        <v>51</v>
      </c>
      <c r="S94" s="160"/>
    </row>
    <row r="95" spans="1:19" x14ac:dyDescent="0.2">
      <c r="A95" s="160" t="s">
        <v>670</v>
      </c>
      <c r="B95" s="164" t="s">
        <v>356</v>
      </c>
      <c r="C95" s="161">
        <v>4</v>
      </c>
      <c r="D95" s="161"/>
      <c r="E95" s="161">
        <v>4</v>
      </c>
      <c r="F95" s="163" t="s">
        <v>52</v>
      </c>
      <c r="G95" s="161">
        <v>4</v>
      </c>
      <c r="H95" s="163" t="s">
        <v>52</v>
      </c>
      <c r="I95" s="161">
        <v>4</v>
      </c>
      <c r="J95" s="163" t="s">
        <v>52</v>
      </c>
      <c r="K95" s="161">
        <v>4</v>
      </c>
      <c r="L95" s="163" t="s">
        <v>52</v>
      </c>
      <c r="M95" s="161">
        <v>4</v>
      </c>
      <c r="N95" s="163" t="s">
        <v>52</v>
      </c>
    </row>
    <row r="96" spans="1:19" x14ac:dyDescent="0.2">
      <c r="A96" s="160" t="s">
        <v>670</v>
      </c>
      <c r="B96" s="164" t="s">
        <v>361</v>
      </c>
      <c r="C96" s="161">
        <v>4</v>
      </c>
      <c r="D96" s="161"/>
      <c r="E96" s="161">
        <v>4</v>
      </c>
      <c r="F96" s="163" t="s">
        <v>350</v>
      </c>
      <c r="G96" s="161">
        <v>4</v>
      </c>
      <c r="H96" s="163" t="s">
        <v>350</v>
      </c>
      <c r="I96" s="161">
        <v>4</v>
      </c>
      <c r="J96" s="163" t="s">
        <v>350</v>
      </c>
      <c r="K96" s="161">
        <v>4</v>
      </c>
      <c r="L96" s="163" t="s">
        <v>350</v>
      </c>
      <c r="M96" s="161">
        <v>4</v>
      </c>
      <c r="N96" s="163" t="s">
        <v>350</v>
      </c>
    </row>
    <row r="97" spans="1:14" x14ac:dyDescent="0.2">
      <c r="A97" s="160" t="s">
        <v>671</v>
      </c>
      <c r="B97" s="164" t="s">
        <v>354</v>
      </c>
      <c r="C97" s="161">
        <v>4</v>
      </c>
      <c r="D97" s="161"/>
      <c r="E97" s="161">
        <v>4</v>
      </c>
      <c r="F97" s="163" t="s">
        <v>184</v>
      </c>
      <c r="G97" s="161">
        <v>4</v>
      </c>
      <c r="H97" s="163" t="s">
        <v>184</v>
      </c>
      <c r="I97" s="161">
        <v>4</v>
      </c>
      <c r="J97" s="163" t="s">
        <v>184</v>
      </c>
      <c r="K97" s="161">
        <v>4</v>
      </c>
      <c r="L97" s="163" t="s">
        <v>184</v>
      </c>
      <c r="M97" s="161">
        <v>4</v>
      </c>
      <c r="N97" s="163" t="s">
        <v>184</v>
      </c>
    </row>
    <row r="98" spans="1:14" x14ac:dyDescent="0.2">
      <c r="A98" s="160" t="s">
        <v>671</v>
      </c>
      <c r="B98" s="164" t="s">
        <v>357</v>
      </c>
      <c r="C98" s="161">
        <v>4</v>
      </c>
      <c r="D98" s="161"/>
      <c r="E98" s="161">
        <v>4</v>
      </c>
      <c r="F98" s="163" t="s">
        <v>189</v>
      </c>
      <c r="G98" s="161">
        <v>4</v>
      </c>
      <c r="H98" s="163" t="s">
        <v>189</v>
      </c>
      <c r="I98" s="161">
        <v>4</v>
      </c>
      <c r="J98" s="163" t="s">
        <v>189</v>
      </c>
      <c r="K98" s="161">
        <v>4</v>
      </c>
      <c r="L98" s="163" t="s">
        <v>189</v>
      </c>
      <c r="M98" s="161">
        <v>4</v>
      </c>
      <c r="N98" s="163" t="s">
        <v>189</v>
      </c>
    </row>
    <row r="99" spans="1:14" x14ac:dyDescent="0.2">
      <c r="A99" s="160" t="s">
        <v>671</v>
      </c>
      <c r="B99" s="164" t="s">
        <v>358</v>
      </c>
      <c r="C99" s="161">
        <v>4</v>
      </c>
      <c r="D99" s="161"/>
      <c r="E99" s="161">
        <v>4</v>
      </c>
      <c r="F99" s="163" t="s">
        <v>53</v>
      </c>
      <c r="G99" s="161">
        <v>4</v>
      </c>
      <c r="H99" s="163" t="s">
        <v>53</v>
      </c>
      <c r="I99" s="161">
        <v>4</v>
      </c>
      <c r="J99" s="163" t="s">
        <v>53</v>
      </c>
      <c r="K99" s="161">
        <v>4</v>
      </c>
      <c r="L99" s="163" t="s">
        <v>53</v>
      </c>
      <c r="M99" s="161">
        <v>4</v>
      </c>
      <c r="N99" s="163" t="s">
        <v>53</v>
      </c>
    </row>
    <row r="100" spans="1:14" x14ac:dyDescent="0.2">
      <c r="A100" s="160" t="s">
        <v>671</v>
      </c>
      <c r="B100" s="164" t="s">
        <v>359</v>
      </c>
      <c r="C100" s="161">
        <v>4</v>
      </c>
      <c r="D100" s="161"/>
      <c r="E100" s="161">
        <v>4</v>
      </c>
      <c r="F100" s="163" t="s">
        <v>348</v>
      </c>
      <c r="G100" s="161">
        <v>4</v>
      </c>
      <c r="H100" s="163" t="s">
        <v>348</v>
      </c>
      <c r="I100" s="161">
        <v>4</v>
      </c>
      <c r="J100" s="163" t="s">
        <v>348</v>
      </c>
      <c r="K100" s="161">
        <v>4</v>
      </c>
      <c r="L100" s="163" t="s">
        <v>348</v>
      </c>
      <c r="M100" s="161">
        <v>4</v>
      </c>
      <c r="N100" s="163" t="s">
        <v>348</v>
      </c>
    </row>
    <row r="101" spans="1:14" x14ac:dyDescent="0.2">
      <c r="A101" s="160" t="s">
        <v>671</v>
      </c>
      <c r="B101" s="164" t="s">
        <v>360</v>
      </c>
      <c r="C101" s="161">
        <v>4</v>
      </c>
      <c r="D101" s="161"/>
      <c r="E101" s="161">
        <v>4</v>
      </c>
      <c r="F101" s="163" t="s">
        <v>349</v>
      </c>
      <c r="G101" s="161">
        <v>4</v>
      </c>
      <c r="H101" s="163" t="s">
        <v>349</v>
      </c>
      <c r="I101" s="161">
        <v>4</v>
      </c>
      <c r="J101" s="163" t="s">
        <v>349</v>
      </c>
      <c r="K101" s="161">
        <v>4</v>
      </c>
      <c r="L101" s="163" t="s">
        <v>349</v>
      </c>
      <c r="M101" s="161">
        <v>4</v>
      </c>
      <c r="N101" s="163" t="s">
        <v>349</v>
      </c>
    </row>
    <row r="102" spans="1:14" x14ac:dyDescent="0.2">
      <c r="A102" s="160" t="s">
        <v>671</v>
      </c>
      <c r="B102" s="164" t="s">
        <v>362</v>
      </c>
      <c r="C102" s="161">
        <v>4</v>
      </c>
      <c r="D102" s="161"/>
      <c r="E102" s="161">
        <v>4</v>
      </c>
      <c r="F102" s="163" t="s">
        <v>351</v>
      </c>
      <c r="G102" s="161">
        <v>4</v>
      </c>
      <c r="H102" s="163" t="s">
        <v>351</v>
      </c>
      <c r="I102" s="161">
        <v>4</v>
      </c>
      <c r="J102" s="163" t="s">
        <v>351</v>
      </c>
      <c r="K102" s="161">
        <v>4</v>
      </c>
      <c r="L102" s="163" t="s">
        <v>351</v>
      </c>
      <c r="M102" s="161">
        <v>4</v>
      </c>
      <c r="N102" s="163" t="s">
        <v>351</v>
      </c>
    </row>
    <row r="103" spans="1:14" x14ac:dyDescent="0.2">
      <c r="A103" s="160" t="s">
        <v>671</v>
      </c>
      <c r="B103" s="164" t="s">
        <v>363</v>
      </c>
      <c r="C103" s="161">
        <v>4</v>
      </c>
      <c r="D103" s="161"/>
      <c r="E103" s="161">
        <v>4</v>
      </c>
      <c r="F103" s="163" t="s">
        <v>352</v>
      </c>
      <c r="G103" s="161">
        <v>4</v>
      </c>
      <c r="H103" s="163" t="s">
        <v>352</v>
      </c>
      <c r="I103" s="161">
        <v>4</v>
      </c>
      <c r="J103" s="163" t="s">
        <v>352</v>
      </c>
      <c r="K103" s="161">
        <v>4</v>
      </c>
      <c r="L103" s="163" t="s">
        <v>352</v>
      </c>
      <c r="M103" s="161">
        <v>4</v>
      </c>
      <c r="N103" s="163" t="s">
        <v>352</v>
      </c>
    </row>
    <row r="104" spans="1:14" x14ac:dyDescent="0.2">
      <c r="A104" s="160" t="s">
        <v>671</v>
      </c>
      <c r="B104" s="164" t="s">
        <v>364</v>
      </c>
      <c r="C104" s="161">
        <v>4</v>
      </c>
      <c r="D104" s="161"/>
      <c r="E104" s="161">
        <v>4</v>
      </c>
      <c r="F104" s="163" t="s">
        <v>353</v>
      </c>
      <c r="G104" s="161">
        <v>4</v>
      </c>
      <c r="H104" s="163" t="s">
        <v>353</v>
      </c>
      <c r="I104" s="161">
        <v>4</v>
      </c>
      <c r="J104" s="163" t="s">
        <v>353</v>
      </c>
      <c r="K104" s="161">
        <v>4</v>
      </c>
      <c r="L104" s="163" t="s">
        <v>353</v>
      </c>
      <c r="M104" s="161">
        <v>4</v>
      </c>
      <c r="N104" s="163" t="s">
        <v>353</v>
      </c>
    </row>
    <row r="105" spans="1:14" x14ac:dyDescent="0.2">
      <c r="C105" s="161"/>
      <c r="D105" s="161"/>
      <c r="E105" s="161"/>
      <c r="G105" s="161"/>
      <c r="I105" s="161"/>
      <c r="K105" s="161"/>
    </row>
    <row r="106" spans="1:14" x14ac:dyDescent="0.2">
      <c r="C106" s="161"/>
      <c r="D106" s="161"/>
      <c r="E106" s="161"/>
      <c r="G106" s="161"/>
      <c r="I106" s="161"/>
      <c r="K106" s="161"/>
    </row>
    <row r="107" spans="1:14" x14ac:dyDescent="0.2">
      <c r="C107" s="161"/>
      <c r="D107" s="161"/>
      <c r="E107" s="161"/>
      <c r="G107" s="161"/>
      <c r="I107" s="161"/>
      <c r="K107" s="161"/>
    </row>
    <row r="108" spans="1:14" x14ac:dyDescent="0.2">
      <c r="A108" s="194" t="s">
        <v>231</v>
      </c>
      <c r="C108" s="161"/>
      <c r="D108" s="161"/>
      <c r="E108" s="161"/>
      <c r="G108" s="161"/>
      <c r="I108" s="161"/>
      <c r="K108" s="161"/>
    </row>
    <row r="109" spans="1:14" x14ac:dyDescent="0.2">
      <c r="A109" s="222" t="s">
        <v>55</v>
      </c>
      <c r="C109" s="161"/>
      <c r="D109" s="161"/>
      <c r="E109" s="161"/>
      <c r="G109" s="161"/>
      <c r="I109" s="161"/>
      <c r="K109" s="161"/>
    </row>
    <row r="110" spans="1:14" x14ac:dyDescent="0.2">
      <c r="A110" s="222" t="s">
        <v>232</v>
      </c>
      <c r="C110" s="161"/>
      <c r="D110" s="161"/>
      <c r="E110" s="161"/>
      <c r="G110" s="161"/>
      <c r="I110" s="161"/>
      <c r="K110" s="161"/>
    </row>
    <row r="111" spans="1:14" x14ac:dyDescent="0.2">
      <c r="A111" s="222" t="s">
        <v>233</v>
      </c>
      <c r="C111" s="161"/>
      <c r="D111" s="161"/>
      <c r="E111" s="161"/>
      <c r="G111" s="161"/>
      <c r="I111" s="161"/>
      <c r="K111" s="161"/>
    </row>
    <row r="112" spans="1:14" x14ac:dyDescent="0.2">
      <c r="A112" s="222" t="s">
        <v>56</v>
      </c>
      <c r="C112" s="161"/>
      <c r="D112" s="161"/>
      <c r="E112" s="161"/>
      <c r="G112" s="161"/>
      <c r="I112" s="161"/>
      <c r="K112" s="161"/>
    </row>
    <row r="113" spans="3:11" x14ac:dyDescent="0.2">
      <c r="C113" s="161"/>
      <c r="D113" s="161"/>
      <c r="E113" s="161"/>
      <c r="G113" s="161"/>
      <c r="I113" s="161"/>
      <c r="K113" s="161"/>
    </row>
    <row r="114" spans="3:11" x14ac:dyDescent="0.2">
      <c r="C114" s="161"/>
      <c r="D114" s="161"/>
      <c r="E114" s="161"/>
      <c r="G114" s="161"/>
      <c r="I114" s="161"/>
      <c r="K114" s="161"/>
    </row>
    <row r="115" spans="3:11" x14ac:dyDescent="0.2">
      <c r="C115" s="161"/>
      <c r="D115" s="161"/>
      <c r="E115" s="161"/>
      <c r="G115" s="161"/>
      <c r="I115" s="161"/>
      <c r="K115" s="161"/>
    </row>
    <row r="116" spans="3:11" x14ac:dyDescent="0.2">
      <c r="C116" s="161"/>
      <c r="D116" s="161"/>
      <c r="E116" s="161"/>
      <c r="G116" s="161"/>
      <c r="I116" s="161"/>
      <c r="K116" s="161"/>
    </row>
    <row r="117" spans="3:11" x14ac:dyDescent="0.2">
      <c r="C117" s="161"/>
      <c r="D117" s="161"/>
      <c r="E117" s="161"/>
      <c r="G117" s="161"/>
      <c r="I117" s="161"/>
      <c r="K117" s="161"/>
    </row>
    <row r="118" spans="3:11" x14ac:dyDescent="0.2">
      <c r="C118" s="161"/>
      <c r="D118" s="161"/>
      <c r="E118" s="161"/>
      <c r="G118" s="161"/>
      <c r="I118" s="161"/>
      <c r="K118" s="161"/>
    </row>
    <row r="119" spans="3:11" x14ac:dyDescent="0.2">
      <c r="C119" s="161"/>
      <c r="D119" s="161"/>
      <c r="E119" s="161"/>
      <c r="G119" s="161"/>
      <c r="I119" s="161"/>
      <c r="K119" s="161"/>
    </row>
    <row r="120" spans="3:11" x14ac:dyDescent="0.2">
      <c r="C120" s="161"/>
      <c r="D120" s="161"/>
      <c r="E120" s="161"/>
      <c r="G120" s="161"/>
      <c r="I120" s="161"/>
      <c r="K120" s="161"/>
    </row>
    <row r="121" spans="3:11" x14ac:dyDescent="0.2">
      <c r="C121" s="161"/>
      <c r="D121" s="161"/>
      <c r="E121" s="161"/>
      <c r="G121" s="161"/>
      <c r="I121" s="161"/>
      <c r="K121" s="161"/>
    </row>
    <row r="122" spans="3:11" x14ac:dyDescent="0.2">
      <c r="C122" s="161"/>
      <c r="D122" s="161"/>
      <c r="E122" s="161"/>
      <c r="G122" s="161"/>
      <c r="I122" s="161"/>
      <c r="K122" s="161"/>
    </row>
    <row r="123" spans="3:11" x14ac:dyDescent="0.2">
      <c r="C123" s="161"/>
      <c r="D123" s="161"/>
      <c r="E123" s="161"/>
      <c r="G123" s="161"/>
      <c r="I123" s="161"/>
      <c r="K123" s="161"/>
    </row>
    <row r="124" spans="3:11" x14ac:dyDescent="0.2">
      <c r="C124" s="161"/>
      <c r="D124" s="161"/>
      <c r="E124" s="161"/>
      <c r="G124" s="161"/>
      <c r="I124" s="161"/>
      <c r="K124" s="161"/>
    </row>
    <row r="125" spans="3:11" x14ac:dyDescent="0.2">
      <c r="C125" s="161"/>
      <c r="D125" s="161"/>
      <c r="E125" s="161"/>
      <c r="G125" s="161"/>
      <c r="I125" s="161"/>
      <c r="K125" s="161"/>
    </row>
    <row r="126" spans="3:11" x14ac:dyDescent="0.2">
      <c r="C126" s="161"/>
      <c r="D126" s="161"/>
      <c r="E126" s="161"/>
      <c r="G126" s="161"/>
      <c r="I126" s="161"/>
      <c r="K126" s="161"/>
    </row>
    <row r="127" spans="3:11" x14ac:dyDescent="0.2">
      <c r="C127" s="161"/>
      <c r="D127" s="161"/>
      <c r="E127" s="161"/>
      <c r="G127" s="161"/>
      <c r="I127" s="161"/>
      <c r="K127" s="161"/>
    </row>
    <row r="128" spans="3:11" x14ac:dyDescent="0.2">
      <c r="C128" s="161"/>
      <c r="D128" s="161"/>
      <c r="E128" s="161"/>
      <c r="G128" s="161"/>
      <c r="I128" s="161"/>
      <c r="K128" s="161"/>
    </row>
  </sheetData>
  <sheetProtection algorithmName="SHA-512" hashValue="VvxoWCpEUG4I/ahNYrYcrMPaQUZWGAPjZpwbsfQmGpCXdu9IUtwatzIX6JHNuYepOLBB9Sd0Z6Fc4fUBfiYZBQ==" saltValue="XvTLEUtHnt6kXXOBo28pJA==" spinCount="100000" sheet="1" objects="1" scenarios="1" formatColumns="0" formatRows="0"/>
  <mergeCells count="1">
    <mergeCell ref="A1:S1"/>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22"/>
  <sheetViews>
    <sheetView workbookViewId="0">
      <selection activeCell="A2" sqref="A2"/>
    </sheetView>
  </sheetViews>
  <sheetFormatPr defaultRowHeight="12.75" x14ac:dyDescent="0.2"/>
  <cols>
    <col min="3" max="3" width="18.5703125" customWidth="1"/>
    <col min="4" max="4" width="50.42578125" customWidth="1"/>
  </cols>
  <sheetData>
    <row r="1" spans="1:4" ht="25.5" x14ac:dyDescent="0.2">
      <c r="A1" s="194" t="s">
        <v>518</v>
      </c>
      <c r="B1" s="296" t="s">
        <v>519</v>
      </c>
      <c r="C1" s="194" t="s">
        <v>520</v>
      </c>
      <c r="D1" s="194" t="s">
        <v>521</v>
      </c>
    </row>
    <row r="2" spans="1:4" x14ac:dyDescent="0.2">
      <c r="C2" s="350"/>
    </row>
    <row r="3" spans="1:4" x14ac:dyDescent="0.2">
      <c r="C3" s="350"/>
    </row>
    <row r="4" spans="1:4" x14ac:dyDescent="0.2">
      <c r="C4" s="350"/>
    </row>
    <row r="5" spans="1:4" x14ac:dyDescent="0.2">
      <c r="C5" s="350"/>
    </row>
    <row r="6" spans="1:4" x14ac:dyDescent="0.2">
      <c r="C6" s="350"/>
    </row>
    <row r="7" spans="1:4" x14ac:dyDescent="0.2">
      <c r="C7" s="350"/>
    </row>
    <row r="8" spans="1:4" x14ac:dyDescent="0.2">
      <c r="C8" s="350"/>
    </row>
    <row r="9" spans="1:4" x14ac:dyDescent="0.2">
      <c r="C9" s="350"/>
    </row>
    <row r="10" spans="1:4" x14ac:dyDescent="0.2">
      <c r="C10" s="350"/>
    </row>
    <row r="11" spans="1:4" x14ac:dyDescent="0.2">
      <c r="C11" s="350"/>
    </row>
    <row r="12" spans="1:4" x14ac:dyDescent="0.2">
      <c r="C12" s="350"/>
    </row>
    <row r="13" spans="1:4" x14ac:dyDescent="0.2">
      <c r="C13" s="350"/>
    </row>
    <row r="14" spans="1:4" x14ac:dyDescent="0.2">
      <c r="C14" s="350"/>
    </row>
    <row r="15" spans="1:4" x14ac:dyDescent="0.2">
      <c r="C15" s="350"/>
    </row>
    <row r="16" spans="1:4" x14ac:dyDescent="0.2">
      <c r="C16" s="350"/>
    </row>
    <row r="17" spans="3:3" x14ac:dyDescent="0.2">
      <c r="C17" s="350"/>
    </row>
    <row r="18" spans="3:3" x14ac:dyDescent="0.2">
      <c r="C18" s="350"/>
    </row>
    <row r="19" spans="3:3" x14ac:dyDescent="0.2">
      <c r="C19" s="350"/>
    </row>
    <row r="20" spans="3:3" x14ac:dyDescent="0.2">
      <c r="C20" s="350"/>
    </row>
    <row r="21" spans="3:3" x14ac:dyDescent="0.2">
      <c r="C21" s="350"/>
    </row>
    <row r="22" spans="3:3" x14ac:dyDescent="0.2">
      <c r="C22" s="350"/>
    </row>
  </sheetData>
  <sheetProtection algorithmName="SHA-512" hashValue="MGhgZS2m/wGLXiFAwWHg+PD0D4XdIGQomSO+qYxlq1oVPIuRVhIcw5iay4mfNJLEnmvSUiFHxx86GWLLM+bh4A==" saltValue="VW7xgULZBcX3WNWiMWwqYA==" spinCount="100000" sheet="1" objects="1" scenarios="1" formatColumns="0" formatRows="0"/>
  <pageMargins left="0.7" right="0.7" top="0.75" bottom="0.75" header="0.3" footer="0.3"/>
  <pageSetup orientation="portrait" r:id="rId1"/>
  <headerFooter>
    <oddHeader>&amp;L&amp;F&amp;C&amp;A&amp;R&amp;D</oddHeader>
    <oddFooter>&amp;C&amp;P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autoPageBreaks="0" fitToPage="1"/>
  </sheetPr>
  <dimension ref="A1:D10"/>
  <sheetViews>
    <sheetView workbookViewId="0">
      <selection activeCell="D10" sqref="D10"/>
    </sheetView>
  </sheetViews>
  <sheetFormatPr defaultRowHeight="12.75" x14ac:dyDescent="0.2"/>
  <cols>
    <col min="1" max="1" width="12.42578125" customWidth="1"/>
    <col min="2" max="2" width="17.7109375" customWidth="1"/>
    <col min="3" max="3" width="51.140625" customWidth="1"/>
    <col min="4" max="4" width="6.5703125" customWidth="1"/>
  </cols>
  <sheetData>
    <row r="1" spans="1:4" ht="23.25" customHeight="1" x14ac:dyDescent="0.2">
      <c r="A1" s="516" t="s">
        <v>89</v>
      </c>
      <c r="B1" s="516"/>
      <c r="C1" s="516"/>
      <c r="D1" s="516"/>
    </row>
    <row r="2" spans="1:4" ht="21" customHeight="1" x14ac:dyDescent="0.2">
      <c r="A2" s="69" t="s">
        <v>86</v>
      </c>
      <c r="B2" s="70" t="s">
        <v>78</v>
      </c>
      <c r="C2" s="70" t="s">
        <v>90</v>
      </c>
      <c r="D2" s="70" t="s">
        <v>87</v>
      </c>
    </row>
    <row r="3" spans="1:4" x14ac:dyDescent="0.2">
      <c r="A3" s="71" t="s">
        <v>686</v>
      </c>
      <c r="B3" s="66" t="s">
        <v>672</v>
      </c>
      <c r="C3" s="52" t="s">
        <v>293</v>
      </c>
      <c r="D3" s="229" t="s">
        <v>88</v>
      </c>
    </row>
    <row r="4" spans="1:4" x14ac:dyDescent="0.2">
      <c r="A4" s="231" t="s">
        <v>689</v>
      </c>
      <c r="B4" s="66" t="s">
        <v>672</v>
      </c>
      <c r="C4" s="52" t="s">
        <v>533</v>
      </c>
      <c r="D4" s="230" t="s">
        <v>88</v>
      </c>
    </row>
    <row r="5" spans="1:4" x14ac:dyDescent="0.2">
      <c r="A5" s="231" t="s">
        <v>687</v>
      </c>
      <c r="B5" s="66" t="s">
        <v>674</v>
      </c>
      <c r="C5" s="255" t="s">
        <v>454</v>
      </c>
      <c r="D5" s="230" t="s">
        <v>88</v>
      </c>
    </row>
    <row r="6" spans="1:4" x14ac:dyDescent="0.2">
      <c r="A6" s="231" t="s">
        <v>695</v>
      </c>
      <c r="B6" s="66" t="s">
        <v>674</v>
      </c>
      <c r="C6" s="52" t="s">
        <v>564</v>
      </c>
      <c r="D6" s="256" t="s">
        <v>88</v>
      </c>
    </row>
    <row r="7" spans="1:4" x14ac:dyDescent="0.2">
      <c r="A7" s="71" t="s">
        <v>698</v>
      </c>
      <c r="B7" s="66" t="s">
        <v>671</v>
      </c>
      <c r="C7" s="52" t="s">
        <v>402</v>
      </c>
      <c r="D7" s="56" t="s">
        <v>88</v>
      </c>
    </row>
    <row r="8" spans="1:4" ht="25.5" x14ac:dyDescent="0.2">
      <c r="A8" s="71" t="s">
        <v>700</v>
      </c>
      <c r="B8" s="66" t="s">
        <v>671</v>
      </c>
      <c r="C8" s="52" t="s">
        <v>403</v>
      </c>
      <c r="D8" s="56" t="s">
        <v>88</v>
      </c>
    </row>
    <row r="9" spans="1:4" x14ac:dyDescent="0.2">
      <c r="A9" s="71" t="s">
        <v>703</v>
      </c>
      <c r="B9" s="66" t="s">
        <v>671</v>
      </c>
      <c r="C9" s="52" t="s">
        <v>404</v>
      </c>
      <c r="D9" s="56" t="s">
        <v>88</v>
      </c>
    </row>
    <row r="10" spans="1:4" x14ac:dyDescent="0.2">
      <c r="A10" s="71" t="s">
        <v>705</v>
      </c>
      <c r="B10" s="66" t="s">
        <v>671</v>
      </c>
      <c r="C10" s="52" t="s">
        <v>419</v>
      </c>
      <c r="D10" s="56" t="s">
        <v>88</v>
      </c>
    </row>
  </sheetData>
  <mergeCells count="1">
    <mergeCell ref="A1:D1"/>
  </mergeCells>
  <hyperlinks>
    <hyperlink ref="D3" r:id="rId1"/>
    <hyperlink ref="D10" r:id="rId2"/>
    <hyperlink ref="D7" r:id="rId3"/>
    <hyperlink ref="D8" r:id="rId4"/>
    <hyperlink ref="D9" r:id="rId5"/>
    <hyperlink ref="D5" r:id="rId6"/>
    <hyperlink ref="D4" r:id="rId7"/>
    <hyperlink ref="D6" r:id="rId8"/>
  </hyperlinks>
  <pageMargins left="0.7" right="0.7" top="0.75" bottom="0.75" header="0.3" footer="0.3"/>
  <pageSetup fitToHeight="100" orientation="landscape" r:id="rId9"/>
  <headerFooter>
    <oddHeader>&amp;L&amp;F&amp;C&amp;A&amp;R&amp;D</oddHeader>
    <oddFooter>&amp;C&amp;P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autoPageBreaks="0" fitToPage="1"/>
  </sheetPr>
  <dimension ref="A1:D46"/>
  <sheetViews>
    <sheetView zoomScale="120" zoomScaleNormal="75" workbookViewId="0">
      <selection activeCell="A3" sqref="A3"/>
    </sheetView>
  </sheetViews>
  <sheetFormatPr defaultRowHeight="12.75" x14ac:dyDescent="0.2"/>
  <cols>
    <col min="1" max="1" width="10.5703125" style="37" bestFit="1" customWidth="1"/>
    <col min="2" max="2" width="10.85546875" style="11" bestFit="1" customWidth="1"/>
    <col min="3" max="3" width="102.42578125" customWidth="1"/>
    <col min="4" max="4" width="22" customWidth="1"/>
  </cols>
  <sheetData>
    <row r="1" spans="1:4" ht="18.75" x14ac:dyDescent="0.3">
      <c r="A1" s="442" t="s">
        <v>222</v>
      </c>
      <c r="B1" s="442"/>
      <c r="C1" s="442"/>
      <c r="D1" s="442"/>
    </row>
    <row r="2" spans="1:4" ht="18" x14ac:dyDescent="0.25">
      <c r="A2" s="65" t="s">
        <v>55</v>
      </c>
      <c r="B2" s="44" t="s">
        <v>56</v>
      </c>
      <c r="C2" s="41" t="s">
        <v>57</v>
      </c>
      <c r="D2" s="41" t="s">
        <v>58</v>
      </c>
    </row>
    <row r="3" spans="1:4" x14ac:dyDescent="0.2">
      <c r="A3" s="293" t="s">
        <v>712</v>
      </c>
      <c r="B3" s="269">
        <v>42913</v>
      </c>
      <c r="C3" s="270" t="s">
        <v>713</v>
      </c>
      <c r="D3" s="294" t="s">
        <v>238</v>
      </c>
    </row>
    <row r="4" spans="1:4" ht="76.5" x14ac:dyDescent="0.2">
      <c r="A4" s="293" t="s">
        <v>668</v>
      </c>
      <c r="B4" s="269">
        <v>42906</v>
      </c>
      <c r="C4" s="270" t="s">
        <v>669</v>
      </c>
      <c r="D4" s="294" t="s">
        <v>238</v>
      </c>
    </row>
    <row r="5" spans="1:4" ht="25.5" x14ac:dyDescent="0.2">
      <c r="A5" s="293" t="s">
        <v>586</v>
      </c>
      <c r="B5" s="269">
        <v>42821</v>
      </c>
      <c r="C5" s="270" t="s">
        <v>587</v>
      </c>
      <c r="D5" s="294" t="s">
        <v>238</v>
      </c>
    </row>
    <row r="6" spans="1:4" ht="178.5" x14ac:dyDescent="0.2">
      <c r="A6" s="293" t="s">
        <v>580</v>
      </c>
      <c r="B6" s="269">
        <v>42782</v>
      </c>
      <c r="C6" s="270" t="s">
        <v>585</v>
      </c>
      <c r="D6" s="294" t="s">
        <v>238</v>
      </c>
    </row>
    <row r="7" spans="1:4" ht="51" x14ac:dyDescent="0.2">
      <c r="A7" s="293" t="s">
        <v>563</v>
      </c>
      <c r="B7" s="269">
        <v>42734</v>
      </c>
      <c r="C7" s="270" t="s">
        <v>565</v>
      </c>
      <c r="D7" s="294" t="s">
        <v>238</v>
      </c>
    </row>
    <row r="8" spans="1:4" x14ac:dyDescent="0.2">
      <c r="A8" s="293" t="s">
        <v>559</v>
      </c>
      <c r="B8" s="269">
        <v>42733</v>
      </c>
      <c r="C8" s="270" t="s">
        <v>560</v>
      </c>
      <c r="D8" s="294" t="s">
        <v>238</v>
      </c>
    </row>
    <row r="9" spans="1:4" ht="63.75" x14ac:dyDescent="0.2">
      <c r="A9" s="293" t="s">
        <v>135</v>
      </c>
      <c r="B9" s="269">
        <v>42733</v>
      </c>
      <c r="C9" s="270" t="s">
        <v>558</v>
      </c>
      <c r="D9" s="294" t="s">
        <v>238</v>
      </c>
    </row>
    <row r="10" spans="1:4" ht="25.5" x14ac:dyDescent="0.2">
      <c r="A10" s="293" t="s">
        <v>555</v>
      </c>
      <c r="B10" s="269">
        <v>42620</v>
      </c>
      <c r="C10" s="270" t="s">
        <v>556</v>
      </c>
      <c r="D10" s="294" t="s">
        <v>238</v>
      </c>
    </row>
    <row r="11" spans="1:4" x14ac:dyDescent="0.2">
      <c r="A11" s="293" t="s">
        <v>552</v>
      </c>
      <c r="B11" s="269">
        <v>42587</v>
      </c>
      <c r="C11" s="270" t="s">
        <v>553</v>
      </c>
      <c r="D11" s="294" t="s">
        <v>238</v>
      </c>
    </row>
    <row r="12" spans="1:4" ht="51" x14ac:dyDescent="0.2">
      <c r="A12" s="293" t="s">
        <v>549</v>
      </c>
      <c r="B12" s="269">
        <v>42579</v>
      </c>
      <c r="C12" s="270" t="s">
        <v>550</v>
      </c>
      <c r="D12" s="294" t="s">
        <v>238</v>
      </c>
    </row>
    <row r="13" spans="1:4" ht="38.25" x14ac:dyDescent="0.2">
      <c r="A13" s="293" t="s">
        <v>547</v>
      </c>
      <c r="B13" s="269">
        <v>42578</v>
      </c>
      <c r="C13" s="270" t="s">
        <v>548</v>
      </c>
      <c r="D13" s="294" t="s">
        <v>238</v>
      </c>
    </row>
    <row r="14" spans="1:4" ht="165.75" x14ac:dyDescent="0.2">
      <c r="A14" s="293" t="s">
        <v>531</v>
      </c>
      <c r="B14" s="269">
        <v>42528</v>
      </c>
      <c r="C14" s="270" t="s">
        <v>545</v>
      </c>
      <c r="D14" s="294" t="s">
        <v>238</v>
      </c>
    </row>
    <row r="15" spans="1:4" ht="127.5" x14ac:dyDescent="0.2">
      <c r="A15" s="293" t="s">
        <v>529</v>
      </c>
      <c r="B15" s="269">
        <v>42346</v>
      </c>
      <c r="C15" s="270" t="s">
        <v>530</v>
      </c>
      <c r="D15" s="294" t="s">
        <v>238</v>
      </c>
    </row>
    <row r="16" spans="1:4" ht="38.25" x14ac:dyDescent="0.2">
      <c r="A16" s="293" t="s">
        <v>527</v>
      </c>
      <c r="B16" s="269">
        <v>42340</v>
      </c>
      <c r="C16" s="270" t="s">
        <v>528</v>
      </c>
      <c r="D16" s="294" t="s">
        <v>238</v>
      </c>
    </row>
    <row r="17" spans="1:4" ht="102" x14ac:dyDescent="0.2">
      <c r="A17" s="293" t="s">
        <v>524</v>
      </c>
      <c r="B17" s="269">
        <v>42339</v>
      </c>
      <c r="C17" s="270" t="s">
        <v>525</v>
      </c>
      <c r="D17" s="294" t="s">
        <v>238</v>
      </c>
    </row>
    <row r="18" spans="1:4" ht="89.25" x14ac:dyDescent="0.2">
      <c r="A18" s="293" t="s">
        <v>511</v>
      </c>
      <c r="B18" s="269">
        <v>42318</v>
      </c>
      <c r="C18" s="270" t="s">
        <v>517</v>
      </c>
      <c r="D18" s="294" t="s">
        <v>238</v>
      </c>
    </row>
    <row r="19" spans="1:4" ht="102" x14ac:dyDescent="0.2">
      <c r="A19" s="293" t="s">
        <v>510</v>
      </c>
      <c r="B19" s="269">
        <v>42313</v>
      </c>
      <c r="C19" s="270" t="s">
        <v>526</v>
      </c>
      <c r="D19" s="294" t="s">
        <v>238</v>
      </c>
    </row>
    <row r="20" spans="1:4" ht="63.75" x14ac:dyDescent="0.2">
      <c r="A20" s="293" t="s">
        <v>64</v>
      </c>
      <c r="B20" s="269">
        <v>42179</v>
      </c>
      <c r="C20" s="270" t="s">
        <v>509</v>
      </c>
      <c r="D20" s="294" t="s">
        <v>508</v>
      </c>
    </row>
    <row r="21" spans="1:4" ht="25.5" x14ac:dyDescent="0.2">
      <c r="A21" s="268" t="s">
        <v>63</v>
      </c>
      <c r="B21" s="269">
        <v>42171</v>
      </c>
      <c r="C21" s="270" t="s">
        <v>507</v>
      </c>
      <c r="D21" s="259" t="s">
        <v>238</v>
      </c>
    </row>
    <row r="22" spans="1:4" x14ac:dyDescent="0.2">
      <c r="A22" s="268" t="s">
        <v>38</v>
      </c>
      <c r="B22" s="269">
        <v>42170</v>
      </c>
      <c r="C22" s="270" t="s">
        <v>506</v>
      </c>
      <c r="D22" s="259" t="s">
        <v>238</v>
      </c>
    </row>
    <row r="23" spans="1:4" ht="25.5" x14ac:dyDescent="0.2">
      <c r="A23" s="268" t="s">
        <v>37</v>
      </c>
      <c r="B23" s="269">
        <v>42170</v>
      </c>
      <c r="C23" s="270" t="s">
        <v>505</v>
      </c>
      <c r="D23" s="259" t="s">
        <v>238</v>
      </c>
    </row>
    <row r="24" spans="1:4" x14ac:dyDescent="0.2">
      <c r="A24" s="268" t="s">
        <v>472</v>
      </c>
      <c r="B24" s="269">
        <v>42166</v>
      </c>
      <c r="C24" s="270" t="s">
        <v>473</v>
      </c>
      <c r="D24" s="259" t="s">
        <v>238</v>
      </c>
    </row>
    <row r="25" spans="1:4" x14ac:dyDescent="0.2">
      <c r="A25" s="268" t="s">
        <v>460</v>
      </c>
      <c r="B25" s="269">
        <v>42166</v>
      </c>
      <c r="C25" s="270" t="s">
        <v>467</v>
      </c>
      <c r="D25" s="259" t="s">
        <v>238</v>
      </c>
    </row>
    <row r="26" spans="1:4" ht="191.25" x14ac:dyDescent="0.2">
      <c r="A26" s="55" t="s">
        <v>456</v>
      </c>
      <c r="B26" s="248">
        <v>42165</v>
      </c>
      <c r="C26" s="233" t="s">
        <v>459</v>
      </c>
      <c r="D26" s="259" t="s">
        <v>238</v>
      </c>
    </row>
    <row r="27" spans="1:4" ht="38.25" x14ac:dyDescent="0.2">
      <c r="A27" s="55" t="s">
        <v>435</v>
      </c>
      <c r="B27" s="247">
        <v>42130</v>
      </c>
      <c r="C27" s="233" t="s">
        <v>436</v>
      </c>
      <c r="D27" s="259" t="s">
        <v>238</v>
      </c>
    </row>
    <row r="28" spans="1:4" x14ac:dyDescent="0.2">
      <c r="A28" s="55" t="s">
        <v>433</v>
      </c>
      <c r="B28" s="247">
        <v>41973</v>
      </c>
      <c r="C28" s="233" t="s">
        <v>434</v>
      </c>
      <c r="D28" s="259" t="s">
        <v>238</v>
      </c>
    </row>
    <row r="29" spans="1:4" ht="25.5" x14ac:dyDescent="0.2">
      <c r="A29" s="55" t="s">
        <v>431</v>
      </c>
      <c r="B29" s="247">
        <v>41961</v>
      </c>
      <c r="C29" s="233" t="s">
        <v>432</v>
      </c>
      <c r="D29" s="259" t="s">
        <v>238</v>
      </c>
    </row>
    <row r="30" spans="1:4" ht="127.5" x14ac:dyDescent="0.2">
      <c r="A30" s="55" t="s">
        <v>428</v>
      </c>
      <c r="B30" s="247">
        <v>41955</v>
      </c>
      <c r="C30" s="233" t="s">
        <v>430</v>
      </c>
      <c r="D30" s="259" t="s">
        <v>238</v>
      </c>
    </row>
    <row r="31" spans="1:4" x14ac:dyDescent="0.2">
      <c r="A31" s="55" t="s">
        <v>422</v>
      </c>
      <c r="B31" s="247">
        <v>41954</v>
      </c>
      <c r="C31" s="233" t="s">
        <v>423</v>
      </c>
      <c r="D31" s="259" t="s">
        <v>238</v>
      </c>
    </row>
    <row r="32" spans="1:4" x14ac:dyDescent="0.2">
      <c r="A32" s="55" t="s">
        <v>420</v>
      </c>
      <c r="B32" s="247">
        <v>41954</v>
      </c>
      <c r="C32" s="233" t="s">
        <v>421</v>
      </c>
      <c r="D32" s="259" t="s">
        <v>238</v>
      </c>
    </row>
    <row r="33" spans="1:4" ht="114.75" x14ac:dyDescent="0.2">
      <c r="A33" s="55" t="s">
        <v>417</v>
      </c>
      <c r="B33" s="247">
        <v>41953</v>
      </c>
      <c r="C33" s="233" t="s">
        <v>418</v>
      </c>
      <c r="D33" s="259" t="s">
        <v>238</v>
      </c>
    </row>
    <row r="34" spans="1:4" ht="25.5" x14ac:dyDescent="0.2">
      <c r="A34" s="55" t="s">
        <v>400</v>
      </c>
      <c r="B34" s="247">
        <v>41946</v>
      </c>
      <c r="C34" s="233" t="s">
        <v>401</v>
      </c>
      <c r="D34" s="259" t="s">
        <v>238</v>
      </c>
    </row>
    <row r="35" spans="1:4" ht="26.25" thickBot="1" x14ac:dyDescent="0.25">
      <c r="A35" s="249" t="s">
        <v>274</v>
      </c>
      <c r="B35" s="250">
        <v>41922</v>
      </c>
      <c r="C35" s="264" t="s">
        <v>399</v>
      </c>
      <c r="D35" s="260" t="s">
        <v>238</v>
      </c>
    </row>
    <row r="36" spans="1:4" ht="13.5" thickTop="1" x14ac:dyDescent="0.2">
      <c r="A36" s="251" t="s">
        <v>272</v>
      </c>
      <c r="B36" s="252">
        <v>41775</v>
      </c>
      <c r="C36" s="265" t="s">
        <v>273</v>
      </c>
      <c r="D36" s="261" t="s">
        <v>238</v>
      </c>
    </row>
    <row r="37" spans="1:4" x14ac:dyDescent="0.2">
      <c r="A37" s="55" t="s">
        <v>270</v>
      </c>
      <c r="B37" s="247">
        <v>41775</v>
      </c>
      <c r="C37" s="259" t="s">
        <v>271</v>
      </c>
      <c r="D37" s="259" t="s">
        <v>238</v>
      </c>
    </row>
    <row r="38" spans="1:4" x14ac:dyDescent="0.2">
      <c r="A38" s="40" t="s">
        <v>252</v>
      </c>
      <c r="B38" s="247">
        <v>41761</v>
      </c>
      <c r="C38" s="262" t="s">
        <v>269</v>
      </c>
      <c r="D38" s="262" t="s">
        <v>238</v>
      </c>
    </row>
    <row r="39" spans="1:4" x14ac:dyDescent="0.2">
      <c r="A39" s="40" t="s">
        <v>267</v>
      </c>
      <c r="B39" s="247">
        <v>41723</v>
      </c>
      <c r="C39" s="263" t="s">
        <v>268</v>
      </c>
      <c r="D39" s="262" t="s">
        <v>238</v>
      </c>
    </row>
    <row r="40" spans="1:4" x14ac:dyDescent="0.2">
      <c r="A40" s="40" t="s">
        <v>265</v>
      </c>
      <c r="B40" s="247">
        <v>41722</v>
      </c>
      <c r="C40" s="263" t="s">
        <v>266</v>
      </c>
      <c r="D40" s="262" t="s">
        <v>238</v>
      </c>
    </row>
    <row r="41" spans="1:4" x14ac:dyDescent="0.2">
      <c r="A41" s="40" t="s">
        <v>263</v>
      </c>
      <c r="B41" s="247">
        <v>41716</v>
      </c>
      <c r="C41" s="263" t="s">
        <v>264</v>
      </c>
      <c r="D41" s="262" t="s">
        <v>238</v>
      </c>
    </row>
    <row r="42" spans="1:4" ht="25.5" x14ac:dyDescent="0.2">
      <c r="A42" s="40" t="s">
        <v>261</v>
      </c>
      <c r="B42" s="247">
        <v>41632</v>
      </c>
      <c r="C42" s="266" t="s">
        <v>262</v>
      </c>
      <c r="D42" s="263" t="s">
        <v>238</v>
      </c>
    </row>
    <row r="43" spans="1:4" x14ac:dyDescent="0.2">
      <c r="A43" s="40" t="s">
        <v>259</v>
      </c>
      <c r="B43" s="247">
        <v>41604</v>
      </c>
      <c r="C43" s="263" t="s">
        <v>260</v>
      </c>
      <c r="D43" s="263" t="s">
        <v>238</v>
      </c>
    </row>
    <row r="44" spans="1:4" x14ac:dyDescent="0.2">
      <c r="A44" s="40" t="s">
        <v>257</v>
      </c>
      <c r="B44" s="247">
        <v>41598</v>
      </c>
      <c r="C44" s="263" t="s">
        <v>258</v>
      </c>
      <c r="D44" s="263" t="s">
        <v>238</v>
      </c>
    </row>
    <row r="45" spans="1:4" x14ac:dyDescent="0.2">
      <c r="A45" s="49" t="s">
        <v>255</v>
      </c>
      <c r="B45" s="247">
        <v>41597</v>
      </c>
      <c r="C45" s="36" t="s">
        <v>256</v>
      </c>
      <c r="D45" s="36" t="s">
        <v>238</v>
      </c>
    </row>
    <row r="46" spans="1:4" x14ac:dyDescent="0.2">
      <c r="A46" s="50" t="s">
        <v>253</v>
      </c>
      <c r="B46" s="247">
        <v>41596</v>
      </c>
      <c r="C46" s="36" t="s">
        <v>254</v>
      </c>
      <c r="D46" s="36" t="s">
        <v>238</v>
      </c>
    </row>
  </sheetData>
  <mergeCells count="1">
    <mergeCell ref="A1:D1"/>
  </mergeCells>
  <pageMargins left="0.7" right="0.7" top="0.75" bottom="0.75" header="0.3" footer="0.3"/>
  <pageSetup scale="85" fitToHeight="100" orientation="landscape" r:id="rId1"/>
  <headerFooter>
    <oddHeader>&amp;L&amp;F&amp;C&amp;A&amp;R&amp;D</oddHeader>
    <oddFooter>&amp;C&amp;P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Description0 xmlns="1f4d49c6-c94c-408e-a4f8-a9d95c7cb601">Logical Architecture Scorecard - Template</Description0>
    <TaxCatchAll xmlns="77c1c90c-9646-4c21-9ec5-64b42991447a">
      <Value>10</Value>
      <Value>31</Value>
      <Value>4</Value>
      <Value>69</Value>
    </TaxCatchAll>
    <Project_x002f_AssetTaxHTField0 xmlns="1f4d49c6-c94c-408e-a4f8-a9d95c7cb601">
      <Terms xmlns="http://schemas.microsoft.com/office/infopath/2007/PartnerControls">
        <TermInfo xmlns="http://schemas.microsoft.com/office/infopath/2007/PartnerControls">
          <TermName xmlns="http://schemas.microsoft.com/office/infopath/2007/PartnerControls">Not Applicable</TermName>
          <TermId xmlns="http://schemas.microsoft.com/office/infopath/2007/PartnerControls">b5089deb-608f-4c1e-b2b9-f5a32dab7531</TermId>
        </TermInfo>
      </Terms>
    </Project_x002f_AssetTaxHTField0>
    <PublisherTaxHTField0 xmlns="1f4d49c6-c94c-408e-a4f8-a9d95c7cb601">
      <Terms xmlns="http://schemas.microsoft.com/office/infopath/2007/PartnerControls">
        <TermInfo xmlns="http://schemas.microsoft.com/office/infopath/2007/PartnerControls">
          <TermName xmlns="http://schemas.microsoft.com/office/infopath/2007/PartnerControls">GAR EA</TermName>
          <TermId xmlns="http://schemas.microsoft.com/office/infopath/2007/PartnerControls">d1a538f9-d372-40f1-a69a-e5bc646dcdeb</TermId>
        </TermInfo>
      </Terms>
    </PublisherTaxHTField0>
    <Date xmlns="1f4d49c6-c94c-408e-a4f8-a9d95c7cb601">2015-07-09T04:00:00+00:00</Date>
    <Is_x0020_Core_x0020_Document_x003f_ xmlns="1f4d49c6-c94c-408e-a4f8-a9d95c7cb601">true</Is_x0020_Core_x0020_Document_x003f_>
    <Author0 xmlns="1f4d49c6-c94c-408e-a4f8-a9d95c7cb601">
      <UserInfo>
        <DisplayName>LEGAL\SaxtonGM</DisplayName>
        <AccountId>195</AccountId>
        <AccountType/>
      </UserInfo>
    </Author0>
    <Document_x0020_TypeTaxHTField0 xmlns="1f4d49c6-c94c-408e-a4f8-a9d95c7cb601">
      <Terms xmlns="http://schemas.microsoft.com/office/infopath/2007/PartnerControls">
        <TermInfo xmlns="http://schemas.microsoft.com/office/infopath/2007/PartnerControls">
          <TermName xmlns="http://schemas.microsoft.com/office/infopath/2007/PartnerControls">Template</TermName>
          <TermId xmlns="http://schemas.microsoft.com/office/infopath/2007/PartnerControls">8b33b05b-b7fd-44df-b16c-1590a5ac53cd</TermId>
        </TermInfo>
      </Terms>
    </Document_x0020_TypeTaxHTField0>
    <AudienceTaxHTField0 xmlns="1f4d49c6-c94c-408e-a4f8-a9d95c7cb601">
      <Terms xmlns="http://schemas.microsoft.com/office/infopath/2007/PartnerControls">
        <TermInfo xmlns="http://schemas.microsoft.com/office/infopath/2007/PartnerControls">
          <TermName xmlns="http://schemas.microsoft.com/office/infopath/2007/PartnerControls">All</TermName>
          <TermId xmlns="http://schemas.microsoft.com/office/infopath/2007/PartnerControls">177699b7-88c5-40bb-86a0-6f74c3a7a458</TermId>
        </TermInfo>
      </Terms>
    </AudienceTaxHTField0>
    <_dlc_DocId xmlns="77c1c90c-9646-4c21-9ec5-64b42991447a">F6RNV6RPPMX2-7-12583</_dlc_DocId>
    <_dlc_DocIdUrl xmlns="77c1c90c-9646-4c21-9ec5-64b42991447a">
      <Url>http://gar.regn.net/sites/docs/_layouts/DocIdRedir.aspx?ID=F6RNV6RPPMX2-7-12583</Url>
      <Description>F6RNV6RPPMX2-7-12583</Description>
    </_dlc_DocIdUrl>
    <IconOverlay xmlns="http://schemas.microsoft.com/sharepoint/v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BA5232AB9D30134EB866F6A9E544BA34" ma:contentTypeVersion="24" ma:contentTypeDescription="Create a new document." ma:contentTypeScope="" ma:versionID="00856a029456e7ae048c40ef2a5f1a78">
  <xsd:schema xmlns:xsd="http://www.w3.org/2001/XMLSchema" xmlns:xs="http://www.w3.org/2001/XMLSchema" xmlns:p="http://schemas.microsoft.com/office/2006/metadata/properties" xmlns:ns2="1f4d49c6-c94c-408e-a4f8-a9d95c7cb601" xmlns:ns3="77c1c90c-9646-4c21-9ec5-64b42991447a" xmlns:ns4="http://schemas.microsoft.com/sharepoint/v4" targetNamespace="http://schemas.microsoft.com/office/2006/metadata/properties" ma:root="true" ma:fieldsID="9ab940458e1238adc76dbceb707f5e00" ns2:_="" ns3:_="" ns4:_="">
    <xsd:import namespace="1f4d49c6-c94c-408e-a4f8-a9d95c7cb601"/>
    <xsd:import namespace="77c1c90c-9646-4c21-9ec5-64b42991447a"/>
    <xsd:import namespace="http://schemas.microsoft.com/sharepoint/v4"/>
    <xsd:element name="properties">
      <xsd:complexType>
        <xsd:sequence>
          <xsd:element name="documentManagement">
            <xsd:complexType>
              <xsd:all>
                <xsd:element ref="ns2:Description0" minOccurs="0"/>
                <xsd:element ref="ns2:Is_x0020_Core_x0020_Document_x003f_" minOccurs="0"/>
                <xsd:element ref="ns2:Author0" minOccurs="0"/>
                <xsd:element ref="ns2:Date" minOccurs="0"/>
                <xsd:element ref="ns3:_dlc_DocId" minOccurs="0"/>
                <xsd:element ref="ns3:_dlc_DocIdUrl" minOccurs="0"/>
                <xsd:element ref="ns3:_dlc_DocIdPersistId" minOccurs="0"/>
                <xsd:element ref="ns2:AudienceTaxHTField0" minOccurs="0"/>
                <xsd:element ref="ns3:TaxCatchAll" minOccurs="0"/>
                <xsd:element ref="ns2:Document_x0020_TypeTaxHTField0" minOccurs="0"/>
                <xsd:element ref="ns2:PublisherTaxHTField0" minOccurs="0"/>
                <xsd:element ref="ns2:Project_x002f_AssetTaxHTField0"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4d49c6-c94c-408e-a4f8-a9d95c7cb601" elementFormDefault="qualified">
    <xsd:import namespace="http://schemas.microsoft.com/office/2006/documentManagement/types"/>
    <xsd:import namespace="http://schemas.microsoft.com/office/infopath/2007/PartnerControls"/>
    <xsd:element name="Description0" ma:index="2" nillable="true" ma:displayName="Description" ma:internalName="Description0" ma:readOnly="false">
      <xsd:simpleType>
        <xsd:restriction base="dms:Note"/>
      </xsd:simpleType>
    </xsd:element>
    <xsd:element name="Is_x0020_Core_x0020_Document_x003f_" ma:index="7" nillable="true" ma:displayName="Is Core Document?" ma:default="0" ma:internalName="Is_x0020_Core_x0020_Document_x003f_">
      <xsd:simpleType>
        <xsd:restriction base="dms:Boolean"/>
      </xsd:simpleType>
    </xsd:element>
    <xsd:element name="Author0" ma:index="8" nillable="true" ma:displayName="Author" ma:list="UserInfo" ma:SharePointGroup="0" ma:internalName="Author0"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ate" ma:index="9" nillable="true" ma:displayName="Date" ma:default="[today]" ma:format="DateOnly" ma:internalName="Date" ma:readOnly="false">
      <xsd:simpleType>
        <xsd:restriction base="dms:DateTime"/>
      </xsd:simpleType>
    </xsd:element>
    <xsd:element name="AudienceTaxHTField0" ma:index="14" nillable="true" ma:taxonomy="true" ma:internalName="AudienceTaxHTField0" ma:taxonomyFieldName="Audience" ma:displayName="Audience" ma:readOnly="false" ma:default="4;#All|177699b7-88c5-40bb-86a0-6f74c3a7a458" ma:fieldId="{e350504a-7fae-49bd-bdca-fa4185093837}" ma:taxonomyMulti="true" ma:sspId="27f062f2-43d9-4a17-bccc-9c0ae45e0c0b" ma:termSetId="33f4fa8e-6948-4490-81dc-c7da715209f1" ma:anchorId="00000000-0000-0000-0000-000000000000" ma:open="false" ma:isKeyword="false">
      <xsd:complexType>
        <xsd:sequence>
          <xsd:element ref="pc:Terms" minOccurs="0" maxOccurs="1"/>
        </xsd:sequence>
      </xsd:complexType>
    </xsd:element>
    <xsd:element name="Document_x0020_TypeTaxHTField0" ma:index="16" nillable="true" ma:taxonomy="true" ma:internalName="Document_x0020_TypeTaxHTField0" ma:taxonomyFieldName="Document_x0020_Type" ma:displayName="Document Type" ma:indexed="true" ma:readOnly="false" ma:default="20;#Document|93858c43-18b1-4512-9953-3312be5568d6" ma:fieldId="{cbc5c8a5-81ac-4cfa-92b7-4e8a98edc948}" ma:sspId="27f062f2-43d9-4a17-bccc-9c0ae45e0c0b" ma:termSetId="2e5eee7a-6564-4766-9b95-469a342f7f3b" ma:anchorId="00000000-0000-0000-0000-000000000000" ma:open="false" ma:isKeyword="false">
      <xsd:complexType>
        <xsd:sequence>
          <xsd:element ref="pc:Terms" minOccurs="0" maxOccurs="1"/>
        </xsd:sequence>
      </xsd:complexType>
    </xsd:element>
    <xsd:element name="PublisherTaxHTField0" ma:index="17" nillable="true" ma:taxonomy="true" ma:internalName="PublisherTaxHTField0" ma:taxonomyFieldName="Publisher" ma:displayName="Publisher" ma:indexed="true" ma:readOnly="false" ma:default="30;#Other|d9d760e7-f6e0-400a-9957-3ceeeea202dd" ma:fieldId="{5aec62c8-f3ca-405c-91d5-6533e9b10a20}" ma:sspId="27f062f2-43d9-4a17-bccc-9c0ae45e0c0b" ma:termSetId="ff29a7d0-72f3-4124-8ff7-9d2f79db3392" ma:anchorId="00000000-0000-0000-0000-000000000000" ma:open="false" ma:isKeyword="false">
      <xsd:complexType>
        <xsd:sequence>
          <xsd:element ref="pc:Terms" minOccurs="0" maxOccurs="1"/>
        </xsd:sequence>
      </xsd:complexType>
    </xsd:element>
    <xsd:element name="Project_x002f_AssetTaxHTField0" ma:index="23" nillable="true" ma:taxonomy="true" ma:internalName="Project_x002f_AssetTaxHTField0" ma:taxonomyFieldName="Project_x002f_Asset" ma:displayName="Project/Asset" ma:indexed="true" ma:default="31;#Not Applicable|b5089deb-608f-4c1e-b2b9-f5a32dab7531" ma:fieldId="{5d50cbc4-06e2-4e91-8a27-26d17fe88617}" ma:sspId="27f062f2-43d9-4a17-bccc-9c0ae45e0c0b" ma:termSetId="8b679d85-6e19-411a-9ba2-8522caeaa91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7c1c90c-9646-4c21-9ec5-64b42991447a" elementFormDefault="qualified">
    <xsd:import namespace="http://schemas.microsoft.com/office/2006/documentManagement/types"/>
    <xsd:import namespace="http://schemas.microsoft.com/office/infopath/2007/PartnerControls"/>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TaxCatchAll" ma:index="15" nillable="true" ma:displayName="Taxonomy Catch All Column" ma:hidden="true" ma:list="{d3d60e26-af49-45d1-90ea-8a2965c3dace}" ma:internalName="TaxCatchAll" ma:showField="CatchAllData" ma:web="77c1c90c-9646-4c21-9ec5-64b42991447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6FAE2B4-D976-4820-B4F3-A83CC20FD570}">
  <ds:schemaRefs>
    <ds:schemaRef ds:uri="http://schemas.microsoft.com/sharepoint/events"/>
  </ds:schemaRefs>
</ds:datastoreItem>
</file>

<file path=customXml/itemProps2.xml><?xml version="1.0" encoding="utf-8"?>
<ds:datastoreItem xmlns:ds="http://schemas.openxmlformats.org/officeDocument/2006/customXml" ds:itemID="{B3BE2A8E-D298-4857-B50A-4E87308D4532}">
  <ds:schemaRefs>
    <ds:schemaRef ds:uri="http://schemas.microsoft.com/office/2006/metadata/longProperties"/>
  </ds:schemaRefs>
</ds:datastoreItem>
</file>

<file path=customXml/itemProps3.xml><?xml version="1.0" encoding="utf-8"?>
<ds:datastoreItem xmlns:ds="http://schemas.openxmlformats.org/officeDocument/2006/customXml" ds:itemID="{32B1584E-5C7F-4E79-8DAE-E496A45BFACF}">
  <ds:schemaRefs>
    <ds:schemaRef ds:uri="http://schemas.microsoft.com/office/2006/metadata/properties"/>
    <ds:schemaRef ds:uri="http://schemas.microsoft.com/office/infopath/2007/PartnerControls"/>
    <ds:schemaRef ds:uri="1f4d49c6-c94c-408e-a4f8-a9d95c7cb601"/>
    <ds:schemaRef ds:uri="77c1c90c-9646-4c21-9ec5-64b42991447a"/>
    <ds:schemaRef ds:uri="http://schemas.microsoft.com/sharepoint/v4"/>
  </ds:schemaRefs>
</ds:datastoreItem>
</file>

<file path=customXml/itemProps4.xml><?xml version="1.0" encoding="utf-8"?>
<ds:datastoreItem xmlns:ds="http://schemas.openxmlformats.org/officeDocument/2006/customXml" ds:itemID="{64BBEA87-C14A-4BEB-A0DD-4605911CF2C9}">
  <ds:schemaRefs>
    <ds:schemaRef ds:uri="http://schemas.microsoft.com/sharepoint/v3/contenttype/forms"/>
  </ds:schemaRefs>
</ds:datastoreItem>
</file>

<file path=customXml/itemProps5.xml><?xml version="1.0" encoding="utf-8"?>
<ds:datastoreItem xmlns:ds="http://schemas.openxmlformats.org/officeDocument/2006/customXml" ds:itemID="{85B4D322-9E2E-4A4B-8564-46B63446AC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4d49c6-c94c-408e-a4f8-a9d95c7cb601"/>
    <ds:schemaRef ds:uri="77c1c90c-9646-4c21-9ec5-64b42991447a"/>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Instructions</vt:lpstr>
      <vt:lpstr>ScoreCard</vt:lpstr>
      <vt:lpstr>Summary</vt:lpstr>
      <vt:lpstr>1. Compliant Data</vt:lpstr>
      <vt:lpstr>2. Reliable Data</vt:lpstr>
      <vt:lpstr>3. Master Data</vt:lpstr>
      <vt:lpstr>4. Flexible Data</vt:lpstr>
      <vt:lpstr>5. Global Data</vt:lpstr>
      <vt:lpstr>Debt Capture</vt:lpstr>
      <vt:lpstr>Mapping</vt:lpstr>
      <vt:lpstr>Messages</vt:lpstr>
      <vt:lpstr>References</vt:lpstr>
      <vt:lpstr>Change History</vt:lpstr>
      <vt:lpstr>Assessment_Section</vt:lpstr>
      <vt:lpstr>Business_Objectives_Section</vt:lpstr>
      <vt:lpstr>DateOfReview</vt:lpstr>
      <vt:lpstr>Debt_Capture_Section</vt:lpstr>
      <vt:lpstr>DomainArchitectId</vt:lpstr>
      <vt:lpstr>DomainArchitectName</vt:lpstr>
      <vt:lpstr>EnterpriseArchitectId</vt:lpstr>
      <vt:lpstr>EnterpriseArchitectName</vt:lpstr>
      <vt:lpstr>Exceptions_Section</vt:lpstr>
      <vt:lpstr>Global_Action_X</vt:lpstr>
      <vt:lpstr>Global_Comment_X</vt:lpstr>
      <vt:lpstr>Global_Risk_X</vt:lpstr>
      <vt:lpstr>GovernanceLevel</vt:lpstr>
      <vt:lpstr>GovLevelObjectivePrincipleMapping</vt:lpstr>
      <vt:lpstr>GR_DEBT_BEGIN</vt:lpstr>
      <vt:lpstr>GR_DEBT_END</vt:lpstr>
      <vt:lpstr>NbrExceptions</vt:lpstr>
      <vt:lpstr>NbrPermWaivers</vt:lpstr>
      <vt:lpstr>NbrTempWaivers</vt:lpstr>
      <vt:lpstr>OldRollupValues</vt:lpstr>
      <vt:lpstr>Operable_Action_X</vt:lpstr>
      <vt:lpstr>Operable_Comment_X</vt:lpstr>
      <vt:lpstr>Operable_Risk_X</vt:lpstr>
      <vt:lpstr>'1. Compliant Data'!Print_Area</vt:lpstr>
      <vt:lpstr>'2. Reliable Data'!Print_Area</vt:lpstr>
      <vt:lpstr>'3. Master Data'!Print_Area</vt:lpstr>
      <vt:lpstr>'4. Flexible Data'!Print_Area</vt:lpstr>
      <vt:lpstr>'5. Global Data'!Print_Area</vt:lpstr>
      <vt:lpstr>Instructions!Print_Area</vt:lpstr>
      <vt:lpstr>ScoreCard!Print_Area</vt:lpstr>
      <vt:lpstr>'Change History'!Print_Titles</vt:lpstr>
      <vt:lpstr>PROFILES_BEGIN</vt:lpstr>
      <vt:lpstr>PROFILES_END</vt:lpstr>
      <vt:lpstr>RiskValues</vt:lpstr>
      <vt:lpstr>RollupValues</vt:lpstr>
      <vt:lpstr>RollupValuesForPrinciples</vt:lpstr>
      <vt:lpstr>Safe_Action_X</vt:lpstr>
      <vt:lpstr>Safe_Comment_X</vt:lpstr>
      <vt:lpstr>Safe_Risk_X</vt:lpstr>
      <vt:lpstr>Scorecard_Profiles_Section</vt:lpstr>
      <vt:lpstr>Scorecard_Type</vt:lpstr>
      <vt:lpstr>ScorecardTemplateVersion</vt:lpstr>
      <vt:lpstr>ScoringPhase</vt:lpstr>
      <vt:lpstr>SummaryComments</vt:lpstr>
      <vt:lpstr>SummaryOfChanges</vt:lpstr>
      <vt:lpstr>SummaryScore</vt:lpstr>
      <vt:lpstr>Sustainable_Action_X</vt:lpstr>
      <vt:lpstr>Sustainable_Comment_X</vt:lpstr>
      <vt:lpstr>Sustainable_Risk_X</vt:lpstr>
      <vt:lpstr>SystemAssetDescription</vt:lpstr>
      <vt:lpstr>SystemAssetId</vt:lpstr>
      <vt:lpstr>SystemAssetName</vt:lpstr>
      <vt:lpstr>SystemAssetVersion</vt:lpstr>
      <vt:lpstr>ValidValues</vt:lpstr>
    </vt:vector>
  </TitlesOfParts>
  <Company>LexisNexis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Scorecard</dc:title>
  <dc:creator>Ian Koenig</dc:creator>
  <cp:lastModifiedBy>Hills, Ted (LNG-RDU)</cp:lastModifiedBy>
  <cp:lastPrinted>2017-06-20T21:13:05Z</cp:lastPrinted>
  <dcterms:created xsi:type="dcterms:W3CDTF">2006-07-13T15:23:15Z</dcterms:created>
  <dcterms:modified xsi:type="dcterms:W3CDTF">2017-06-27T17:34:00Z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0x010100BA5232AB9D30134EB866F6A9E544BA34</vt:lpwstr>
  </property>
  <property fmtid="{D5CDD505-2E9C-101B-9397-08002B2CF9AE}" pid="4" name="_dlc_DocId">
    <vt:lpwstr>F6RNV6RPPMX2-7-6876</vt:lpwstr>
  </property>
  <property fmtid="{D5CDD505-2E9C-101B-9397-08002B2CF9AE}" pid="5" name="_dlc_DocIdItemGuid">
    <vt:lpwstr>9fd39f9e-b104-484d-afa4-c7507c10aeb4</vt:lpwstr>
  </property>
  <property fmtid="{D5CDD505-2E9C-101B-9397-08002B2CF9AE}" pid="6" name="_dlc_DocIdUrl">
    <vt:lpwstr>http://gar.regn.net/sites/docs/_layouts/DocIdRedir.aspx?ID=F6RNV6RPPMX2-7-6876, F6RNV6RPPMX2-7-6876</vt:lpwstr>
  </property>
  <property fmtid="{D5CDD505-2E9C-101B-9397-08002B2CF9AE}" pid="7" name="display_urn:schemas-microsoft-com:office:office#Author0">
    <vt:lpwstr>Steiner, Don P. (LNG-DAY)</vt:lpwstr>
  </property>
  <property fmtid="{D5CDD505-2E9C-101B-9397-08002B2CF9AE}" pid="8" name="Audience">
    <vt:lpwstr>4;#All|177699b7-88c5-40bb-86a0-6f74c3a7a458</vt:lpwstr>
  </property>
  <property fmtid="{D5CDD505-2E9C-101B-9397-08002B2CF9AE}" pid="9" name="Publisher">
    <vt:lpwstr>10;#GAR EA|d1a538f9-d372-40f1-a69a-e5bc646dcdeb</vt:lpwstr>
  </property>
  <property fmtid="{D5CDD505-2E9C-101B-9397-08002B2CF9AE}" pid="10" name="Project/Asset">
    <vt:lpwstr>31;#Not Applicable|b5089deb-608f-4c1e-b2b9-f5a32dab7531</vt:lpwstr>
  </property>
  <property fmtid="{D5CDD505-2E9C-101B-9397-08002B2CF9AE}" pid="11" name="Document Type">
    <vt:lpwstr>69;#Template|8b33b05b-b7fd-44df-b16c-1590a5ac53cd</vt:lpwstr>
  </property>
  <property fmtid="{D5CDD505-2E9C-101B-9397-08002B2CF9AE}" pid="12" name="WorkbookGuid">
    <vt:lpwstr>772987e2-c72f-4b16-a91f-40e218c212c4</vt:lpwstr>
  </property>
</Properties>
</file>